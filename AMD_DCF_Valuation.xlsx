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DCF\"/>
    </mc:Choice>
  </mc:AlternateContent>
  <xr:revisionPtr revIDLastSave="0" documentId="13_ncr:1_{0D534FCC-CE37-42DF-9CC4-E977761747B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1" r:id="rId1"/>
    <sheet name="Historicals" sheetId="2" r:id="rId2"/>
    <sheet name="Assumptions" sheetId="3" r:id="rId3"/>
    <sheet name="WACC" sheetId="4" r:id="rId4"/>
    <sheet name="Projections" sheetId="5" r:id="rId5"/>
    <sheet name="DCF Valuation" sheetId="6" r:id="rId6"/>
    <sheet name="Sensitivit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14" i="4"/>
  <c r="E14" i="1"/>
  <c r="E15" i="1"/>
  <c r="E16" i="1"/>
  <c r="E17" i="1"/>
  <c r="E14" i="7"/>
  <c r="C35" i="6"/>
  <c r="C29" i="6"/>
  <c r="C28" i="6"/>
  <c r="C31" i="6" s="1"/>
  <c r="C17" i="6"/>
  <c r="C24" i="5"/>
  <c r="C23" i="5"/>
  <c r="C21" i="5"/>
  <c r="F20" i="5"/>
  <c r="E20" i="5"/>
  <c r="D20" i="5"/>
  <c r="C20" i="5"/>
  <c r="C14" i="5"/>
  <c r="C16" i="5" s="1"/>
  <c r="G13" i="5"/>
  <c r="G20" i="5" s="1"/>
  <c r="F13" i="5"/>
  <c r="E13" i="5"/>
  <c r="D13" i="5"/>
  <c r="C13" i="5"/>
  <c r="C12" i="5"/>
  <c r="C11" i="5"/>
  <c r="C9" i="5"/>
  <c r="C10" i="5" s="1"/>
  <c r="C8" i="5"/>
  <c r="C7" i="5"/>
  <c r="C22" i="5" s="1"/>
  <c r="C19" i="4"/>
  <c r="C18" i="4"/>
  <c r="C13" i="4"/>
  <c r="C15" i="4" s="1"/>
  <c r="C9" i="4"/>
  <c r="C8" i="4"/>
  <c r="C7" i="4"/>
  <c r="C10" i="4" s="1"/>
  <c r="G60" i="2"/>
  <c r="F60" i="2"/>
  <c r="E60" i="2"/>
  <c r="D60" i="2"/>
  <c r="C60" i="2"/>
  <c r="G49" i="2"/>
  <c r="G51" i="2" s="1"/>
  <c r="F49" i="2"/>
  <c r="F51" i="2" s="1"/>
  <c r="E49" i="2"/>
  <c r="E51" i="2" s="1"/>
  <c r="D49" i="2"/>
  <c r="D51" i="2" s="1"/>
  <c r="C49" i="2"/>
  <c r="C51" i="2" s="1"/>
  <c r="G44" i="2"/>
  <c r="F44" i="2"/>
  <c r="E44" i="2"/>
  <c r="D44" i="2"/>
  <c r="C44" i="2"/>
  <c r="G41" i="2"/>
  <c r="F41" i="2"/>
  <c r="E41" i="2"/>
  <c r="D41" i="2"/>
  <c r="C41" i="2"/>
  <c r="E40" i="2"/>
  <c r="D40" i="2"/>
  <c r="C40" i="2"/>
  <c r="G39" i="2"/>
  <c r="G40" i="2" s="1"/>
  <c r="F39" i="2"/>
  <c r="F40" i="2" s="1"/>
  <c r="E39" i="2"/>
  <c r="D39" i="2"/>
  <c r="C39" i="2"/>
  <c r="G32" i="2"/>
  <c r="F32" i="2"/>
  <c r="E32" i="2"/>
  <c r="D32" i="2"/>
  <c r="C32" i="2"/>
  <c r="C24" i="2"/>
  <c r="C25" i="2" s="1"/>
  <c r="G23" i="2"/>
  <c r="F23" i="2"/>
  <c r="F24" i="2" s="1"/>
  <c r="E23" i="2"/>
  <c r="E24" i="2" s="1"/>
  <c r="D23" i="2"/>
  <c r="D24" i="2" s="1"/>
  <c r="C23" i="2"/>
  <c r="G19" i="2"/>
  <c r="F19" i="2"/>
  <c r="E19" i="2"/>
  <c r="D19" i="2"/>
  <c r="C19" i="2"/>
  <c r="G17" i="2"/>
  <c r="F17" i="2"/>
  <c r="E17" i="2"/>
  <c r="D17" i="2"/>
  <c r="C17" i="2"/>
  <c r="G13" i="2"/>
  <c r="F13" i="2"/>
  <c r="E13" i="2"/>
  <c r="D13" i="2"/>
  <c r="C13" i="2"/>
  <c r="G12" i="2"/>
  <c r="G24" i="2" s="1"/>
  <c r="F12" i="2"/>
  <c r="E12" i="2"/>
  <c r="D12" i="2"/>
  <c r="C12" i="2"/>
  <c r="G9" i="2"/>
  <c r="F9" i="2"/>
  <c r="E9" i="2"/>
  <c r="D9" i="2"/>
  <c r="E25" i="2" l="1"/>
  <c r="E28" i="2"/>
  <c r="E30" i="2" s="1"/>
  <c r="G28" i="2"/>
  <c r="G30" i="2" s="1"/>
  <c r="G25" i="2"/>
  <c r="D28" i="2"/>
  <c r="D30" i="2" s="1"/>
  <c r="D25" i="2"/>
  <c r="F28" i="2"/>
  <c r="F30" i="2" s="1"/>
  <c r="F25" i="2"/>
  <c r="C15" i="5"/>
  <c r="C20" i="4"/>
  <c r="C28" i="2"/>
  <c r="C30" i="2" s="1"/>
  <c r="D7" i="5"/>
  <c r="C17" i="5"/>
  <c r="C25" i="5" s="1"/>
  <c r="C26" i="5" l="1"/>
  <c r="C7" i="6"/>
  <c r="C27" i="5"/>
  <c r="C21" i="4"/>
  <c r="D9" i="5"/>
  <c r="D21" i="5"/>
  <c r="D12" i="5"/>
  <c r="D23" i="5"/>
  <c r="D11" i="5"/>
  <c r="D22" i="5"/>
  <c r="E7" i="5"/>
  <c r="D8" i="5"/>
  <c r="D24" i="5"/>
  <c r="C22" i="4"/>
  <c r="E12" i="5" l="1"/>
  <c r="E23" i="5"/>
  <c r="E21" i="5"/>
  <c r="E24" i="5"/>
  <c r="E8" i="5"/>
  <c r="F7" i="5"/>
  <c r="E11" i="5"/>
  <c r="E22" i="5"/>
  <c r="E9" i="5"/>
  <c r="D14" i="5"/>
  <c r="D10" i="5"/>
  <c r="E13" i="1"/>
  <c r="D16" i="5" l="1"/>
  <c r="D17" i="5"/>
  <c r="D25" i="5" s="1"/>
  <c r="D15" i="5"/>
  <c r="F21" i="5"/>
  <c r="F23" i="5"/>
  <c r="F8" i="5"/>
  <c r="F24" i="5"/>
  <c r="F9" i="5"/>
  <c r="F12" i="5"/>
  <c r="F22" i="5"/>
  <c r="G7" i="5"/>
  <c r="F11" i="5"/>
  <c r="C5" i="6"/>
  <c r="C14" i="7"/>
  <c r="E14" i="5"/>
  <c r="E10" i="5"/>
  <c r="E16" i="5" l="1"/>
  <c r="E15" i="5"/>
  <c r="E17" i="5"/>
  <c r="E25" i="5" s="1"/>
  <c r="C8" i="6"/>
  <c r="D26" i="5"/>
  <c r="D27" i="5"/>
  <c r="E27" i="5" s="1"/>
  <c r="D10" i="6"/>
  <c r="D11" i="6"/>
  <c r="C19" i="6" s="1"/>
  <c r="D9" i="6"/>
  <c r="D8" i="6"/>
  <c r="D7" i="6"/>
  <c r="E7" i="6" s="1"/>
  <c r="G24" i="5"/>
  <c r="G23" i="5"/>
  <c r="G8" i="5"/>
  <c r="G11" i="5"/>
  <c r="G9" i="5"/>
  <c r="G12" i="5"/>
  <c r="G22" i="5"/>
  <c r="G21" i="5"/>
  <c r="F10" i="5"/>
  <c r="F14" i="5"/>
  <c r="G14" i="5" l="1"/>
  <c r="G10" i="5"/>
  <c r="E8" i="6"/>
  <c r="F15" i="5"/>
  <c r="F16" i="5"/>
  <c r="F17" i="5" s="1"/>
  <c r="F25" i="5" s="1"/>
  <c r="C9" i="6"/>
  <c r="E9" i="6" s="1"/>
  <c r="E26" i="5"/>
  <c r="C10" i="6" l="1"/>
  <c r="E10" i="6" s="1"/>
  <c r="F26" i="5"/>
  <c r="G10" i="7"/>
  <c r="G9" i="7"/>
  <c r="D10" i="7"/>
  <c r="C10" i="7"/>
  <c r="G13" i="7"/>
  <c r="F13" i="7"/>
  <c r="D13" i="7"/>
  <c r="F27" i="5"/>
  <c r="G27" i="5" s="1"/>
  <c r="E12" i="7"/>
  <c r="C9" i="7"/>
  <c r="G15" i="5"/>
  <c r="G17" i="5"/>
  <c r="G25" i="5" s="1"/>
  <c r="G16" i="5"/>
  <c r="C11" i="6" l="1"/>
  <c r="G26" i="5"/>
  <c r="E10" i="7"/>
  <c r="E9" i="7"/>
  <c r="G12" i="7"/>
  <c r="C12" i="7"/>
  <c r="D11" i="7"/>
  <c r="F10" i="7"/>
  <c r="D8" i="7"/>
  <c r="F12" i="7"/>
  <c r="F9" i="7"/>
  <c r="C13" i="7"/>
  <c r="E11" i="7"/>
  <c r="F8" i="7"/>
  <c r="F11" i="7"/>
  <c r="C8" i="7"/>
  <c r="C11" i="7"/>
  <c r="G11" i="7"/>
  <c r="E13" i="7"/>
  <c r="G8" i="7"/>
  <c r="E8" i="7"/>
  <c r="D12" i="7"/>
  <c r="D9" i="7"/>
  <c r="E11" i="6" l="1"/>
  <c r="E13" i="6" s="1"/>
  <c r="C23" i="6" s="1"/>
  <c r="C16" i="6"/>
  <c r="C18" i="6" s="1"/>
  <c r="C20" i="6" s="1"/>
  <c r="C24" i="6" s="1"/>
  <c r="C26" i="6" l="1"/>
  <c r="C33" i="6" l="1"/>
  <c r="C30" i="6"/>
  <c r="E11" i="1" s="1"/>
  <c r="C36" i="6" l="1"/>
  <c r="E12" i="1"/>
  <c r="G14" i="7" l="1"/>
  <c r="E10" i="1"/>
  <c r="C39" i="6"/>
</calcChain>
</file>

<file path=xl/sharedStrings.xml><?xml version="1.0" encoding="utf-8"?>
<sst xmlns="http://schemas.openxmlformats.org/spreadsheetml/2006/main" count="251" uniqueCount="232">
  <si>
    <t>ADVANCED MICRO DEVICES, INC. (AMD)</t>
  </si>
  <si>
    <t>Discounted Cash Flow (DCF) Valuation Model</t>
  </si>
  <si>
    <t>Overview</t>
  </si>
  <si>
    <t>This workbook presents a complete DCF valuation of AMD using historical financial data from fiscal years 2021-2025 and projected free cash flows for 2026-2030. All projections are driven by formulas linked to the Assumptions sheet — change any input (yellow cells) to see the valuation update instantly.</t>
  </si>
  <si>
    <t>Data Sources</t>
  </si>
  <si>
    <t>• 2021 10-K (FY ended Dec 25, 2021) — Historical financials</t>
  </si>
  <si>
    <t>• 2022 10-K (FY ended Dec 31, 2022) — Historical financials</t>
  </si>
  <si>
    <t>• 2023 10-K (FY ended Dec 30, 2023) — Historical financials</t>
  </si>
  <si>
    <t>• 2024 10-K (FY ended Dec 28, 2024) — [provided by user]</t>
  </si>
  <si>
    <t>• 2025 10-K/A (FY ended Dec 27, 2025) — [provided by user]</t>
  </si>
  <si>
    <t>• Federal Reserve (FRED) — 10-year U.S. Treasury yield (risk-free rate)</t>
  </si>
  <si>
    <t>• Damodaran Online — Equity risk premium benchmarks</t>
  </si>
  <si>
    <t>• AMD investor presentations — AI strategy, OpenAI partnership</t>
  </si>
  <si>
    <t>Instructions</t>
  </si>
  <si>
    <t>1. Yellow cells = inputs (change these to update the model).</t>
  </si>
  <si>
    <t>2. Green cells = calculated via formulas (do not overwrite).</t>
  </si>
  <si>
    <t>3. Navigate using tabs at the bottom of the workbook.</t>
  </si>
  <si>
    <t>4. Assumptions sheet contains all key drivers.</t>
  </si>
  <si>
    <t>5. Sensitivity sheet shows per-share value across WACC × terminal growth.</t>
  </si>
  <si>
    <t>6. All dollar amounts are in $ millions unless otherwise noted.</t>
  </si>
  <si>
    <t>Key Valuation Outputs (Live)</t>
  </si>
  <si>
    <t>Implied Share Price:</t>
  </si>
  <si>
    <t>Enterprise Value ($M):</t>
  </si>
  <si>
    <t>Equity Value ($M):</t>
  </si>
  <si>
    <t>WACC:</t>
  </si>
  <si>
    <t>Terminal Growth Rate:</t>
  </si>
  <si>
    <t>FY2025 Revenue ($M):</t>
  </si>
  <si>
    <t>Diluted Shares (M):</t>
  </si>
  <si>
    <t>Reference: AMD closing price on Jan 30, 2026: $236.73</t>
  </si>
  <si>
    <t>Note: OpenAI warrant (up to 160M shares at $0.01) not included in base case.</t>
  </si>
  <si>
    <t>AMD Historical Financials (2021-2025)</t>
  </si>
  <si>
    <t>($ in millions, except per-share)</t>
  </si>
  <si>
    <t>Source:</t>
  </si>
  <si>
    <t>2021 10-K</t>
  </si>
  <si>
    <t>2022 10-K</t>
  </si>
  <si>
    <t>2023 10-K</t>
  </si>
  <si>
    <t>2024 10-K</t>
  </si>
  <si>
    <t>2025 10-K/A</t>
  </si>
  <si>
    <t>INCOME STATEMENT</t>
  </si>
  <si>
    <t>Net Revenue</t>
  </si>
  <si>
    <t xml:space="preserve">  YoY Growth</t>
  </si>
  <si>
    <t>n/a</t>
  </si>
  <si>
    <t>Cost of Sales (excl. amort.)</t>
  </si>
  <si>
    <t>Amort. of Acq. Intangibles (COGS)</t>
  </si>
  <si>
    <t>Gross Profit</t>
  </si>
  <si>
    <t xml:space="preserve">  Gross Margin</t>
  </si>
  <si>
    <t>OPERATING EXPENSES</t>
  </si>
  <si>
    <t>Research &amp; Development</t>
  </si>
  <si>
    <t xml:space="preserve">  R&amp;D % of Revenue</t>
  </si>
  <si>
    <t>Marketing, Gen. &amp; Admin.</t>
  </si>
  <si>
    <t xml:space="preserve">  MG&amp;A % of Revenue</t>
  </si>
  <si>
    <t>Amort. of Acq. Intangibles (OpEx)</t>
  </si>
  <si>
    <t>Restructuring Charges</t>
  </si>
  <si>
    <t>Licensing Gain (reduces OpEx)</t>
  </si>
  <si>
    <t>Total Operating Expenses</t>
  </si>
  <si>
    <t>Operating Income</t>
  </si>
  <si>
    <t xml:space="preserve">  Operating Margin</t>
  </si>
  <si>
    <t>Interest Expense</t>
  </si>
  <si>
    <t>Other Income (Expense), Net</t>
  </si>
  <si>
    <t>Pre-Tax Income</t>
  </si>
  <si>
    <t>Income Tax (Provision) Benefit</t>
  </si>
  <si>
    <t xml:space="preserve">  Effective Tax Rate</t>
  </si>
  <si>
    <t>Net Income</t>
  </si>
  <si>
    <t xml:space="preserve">  Net Margin</t>
  </si>
  <si>
    <t>Diluted EPS ($)</t>
  </si>
  <si>
    <t>Diluted Shares (M)</t>
  </si>
  <si>
    <t>CASH FLOW &amp; CAPEX</t>
  </si>
  <si>
    <t>Operating Cash Flow (Cont. Ops)</t>
  </si>
  <si>
    <t>Capital Expenditures</t>
  </si>
  <si>
    <t>Free Cash Flow (FCF)</t>
  </si>
  <si>
    <t xml:space="preserve">  FCF Margin</t>
  </si>
  <si>
    <t xml:space="preserve">  CapEx % of Revenue</t>
  </si>
  <si>
    <t>Depreciation &amp; Amort. (excl. acq.)</t>
  </si>
  <si>
    <t>Stock-Based Compensation</t>
  </si>
  <si>
    <t xml:space="preserve">  SBC % of Revenue</t>
  </si>
  <si>
    <t>BALANCE SHEET (Year-End)</t>
  </si>
  <si>
    <t>Cash &amp; Cash Equivalents</t>
  </si>
  <si>
    <t>Short-Term Investments</t>
  </si>
  <si>
    <t>Total Cash + ST Investments</t>
  </si>
  <si>
    <t>Total Debt (Principal)</t>
  </si>
  <si>
    <t>Net Cash (Cash - Debt)</t>
  </si>
  <si>
    <t>Total Stockholders' Equity</t>
  </si>
  <si>
    <t>SEGMENT REVENUE</t>
  </si>
  <si>
    <t>Data Center</t>
  </si>
  <si>
    <t>Client (excl. Gaming, pre-2025)</t>
  </si>
  <si>
    <t>—</t>
  </si>
  <si>
    <t>Gaming (pre-2025 segment)</t>
  </si>
  <si>
    <t>Client &amp; Gaming (combined, 2025+)</t>
  </si>
  <si>
    <t>Embedded</t>
  </si>
  <si>
    <t xml:space="preserve">  Data Center % of Revenue</t>
  </si>
  <si>
    <t>Note: 2021 figures partially estimated from 2022 10-K MD&amp;A.</t>
  </si>
  <si>
    <t>Note: Beginning Q1 2025, AMD combined Client and Gaming into one segment.</t>
  </si>
  <si>
    <t>DCF Model Assumptions</t>
  </si>
  <si>
    <t>All yellow cells are inputs. Change to update the entire model.</t>
  </si>
  <si>
    <t>Projection Year →</t>
  </si>
  <si>
    <t>REVENUE GROWTH</t>
  </si>
  <si>
    <t>Revenue Growth Rate (%)</t>
  </si>
  <si>
    <t xml:space="preserve">  Rationale: OpenAI 6GW partnership + MI350X/MI450 ramp;</t>
  </si>
  <si>
    <t xml:space="preserve">  decelerating as AI infrastructure spend normalizes.</t>
  </si>
  <si>
    <t>PROFITABILITY MARGINS</t>
  </si>
  <si>
    <t>Gross Margin (%)</t>
  </si>
  <si>
    <t xml:space="preserve">  Rationale: Data Center mix shift (higher margin) offsets competition.</t>
  </si>
  <si>
    <t>R&amp;D % of Revenue (%)</t>
  </si>
  <si>
    <t xml:space="preserve">  Rationale: Operating leverage as revenue scales faster than AI R&amp;D.</t>
  </si>
  <si>
    <t>MG&amp;A % of Revenue (%)</t>
  </si>
  <si>
    <t xml:space="preserve">  Rationale: Go-to-market costs scale sub-linearly with revenue.</t>
  </si>
  <si>
    <t>Amort. of Acq. Intangibles ($M, fixed)</t>
  </si>
  <si>
    <t xml:space="preserve">  Source: AMD 2025 10-K, Note 6 — Acquisition-related Intangible Assets.</t>
  </si>
  <si>
    <t>TAX, CAPEX &amp; WORKING CAPITAL</t>
  </si>
  <si>
    <t>Effective Tax Rate (%)</t>
  </si>
  <si>
    <t xml:space="preserve">  Rationale: Normalized from 2025 (-2.5%, one-time IRS release) &amp; 2024 (19%).</t>
  </si>
  <si>
    <t>CapEx % of Revenue (%)</t>
  </si>
  <si>
    <t xml:space="preserve">  Rationale: Data center capacity buildout; 2025 was 2.8%.</t>
  </si>
  <si>
    <t>D&amp;A % of Revenue (excl. acq. amort.) (%)</t>
  </si>
  <si>
    <t>SBC % of Revenue (%)</t>
  </si>
  <si>
    <t xml:space="preserve">  Rationale: AI talent competition; declining as revenue scales.</t>
  </si>
  <si>
    <t>ΔNWC % of ΔRevenue (%)</t>
  </si>
  <si>
    <t xml:space="preserve">  Rationale: Inventory builds for product ramps; normalizing over time.</t>
  </si>
  <si>
    <t>WACC COMPONENTS</t>
  </si>
  <si>
    <t>Risk-Free Rate (10Y UST, %)</t>
  </si>
  <si>
    <t>FRED data, early 2026</t>
  </si>
  <si>
    <t>Equity Risk Premium (%)</t>
  </si>
  <si>
    <t>Damodaran 2025 estimate</t>
  </si>
  <si>
    <t>Beta (5Y monthly)</t>
  </si>
  <si>
    <t>AMD volatility vs. S&amp;P 500</t>
  </si>
  <si>
    <t>Pre-Tax Cost of Debt (%)</t>
  </si>
  <si>
    <t>Weighted avg of AMD notes</t>
  </si>
  <si>
    <t>Market Cap ($M)</t>
  </si>
  <si>
    <t>1,630M shares × $236.73</t>
  </si>
  <si>
    <t>Total Debt ($M, principal)</t>
  </si>
  <si>
    <t>2025 10-K, Note 9</t>
  </si>
  <si>
    <t>Total Cash + ST Investments ($M)</t>
  </si>
  <si>
    <t>2025 10-K Balance Sheet</t>
  </si>
  <si>
    <t>2025 10-K, Note 13</t>
  </si>
  <si>
    <t>TERMINAL VALUE</t>
  </si>
  <si>
    <t>Terminal Growth Rate (%)</t>
  </si>
  <si>
    <t xml:space="preserve">  Rationale: Long-term GDP growth + inflation.</t>
  </si>
  <si>
    <t>Weighted Average Cost of Capital (WACC)</t>
  </si>
  <si>
    <t>Component</t>
  </si>
  <si>
    <t>Value</t>
  </si>
  <si>
    <t>Formula / Source</t>
  </si>
  <si>
    <t>COST OF EQUITY (CAPM)</t>
  </si>
  <si>
    <t>Risk-Free Rate (Rf)</t>
  </si>
  <si>
    <t>10-year U.S. Treasury yield</t>
  </si>
  <si>
    <t>Equity Risk Premium (ERP)</t>
  </si>
  <si>
    <t>Beta (β)</t>
  </si>
  <si>
    <t>5-year monthly regression vs. S&amp;P 500</t>
  </si>
  <si>
    <t>Cost of Equity = Rf + β × ERP</t>
  </si>
  <si>
    <t>CAPM formula</t>
  </si>
  <si>
    <t>COST OF DEBT</t>
  </si>
  <si>
    <t>Pre-Tax Cost of Debt</t>
  </si>
  <si>
    <t>Weighted avg: 4.212%('26), 4.319%('28), 2.375%('30), 3.924%('32), 4.393%('52)</t>
  </si>
  <si>
    <t>Tax Rate</t>
  </si>
  <si>
    <t>Normalized effective tax rate</t>
  </si>
  <si>
    <t>After-Tax Cost of Debt = Kd × (1 - t)</t>
  </si>
  <si>
    <t>CAPITAL STRUCTURE</t>
  </si>
  <si>
    <t>Market Value of Equity ($M)</t>
  </si>
  <si>
    <t>Shares × current price</t>
  </si>
  <si>
    <t>Market Value of Debt ($M)</t>
  </si>
  <si>
    <t>Book value ≈ market value (fixed-rate notes)</t>
  </si>
  <si>
    <t>Total Capital ($M)</t>
  </si>
  <si>
    <t>Weight of Equity (We)</t>
  </si>
  <si>
    <t>Weight of Debt (Wd)</t>
  </si>
  <si>
    <t>WACC = We × Ke + Wd × Kd×(1-t)</t>
  </si>
  <si>
    <t>Weighted average cost of capital</t>
  </si>
  <si>
    <t>Projected Financials &amp; Free Cash Flow (2026-2030)</t>
  </si>
  <si>
    <t>($ in millions)</t>
  </si>
  <si>
    <t>PROJECTED INCOME STATEMENT</t>
  </si>
  <si>
    <t>Amort. of Acq. Intangibles</t>
  </si>
  <si>
    <t>EBIT (Operating Income)</t>
  </si>
  <si>
    <t xml:space="preserve">  EBIT Margin</t>
  </si>
  <si>
    <t>Taxes on EBIT</t>
  </si>
  <si>
    <t>NOPAT</t>
  </si>
  <si>
    <t>FREE CASH FLOW CALCULATION</t>
  </si>
  <si>
    <t>(+) Amortization of Acq. Intangibles</t>
  </si>
  <si>
    <t>(+) Depreciation &amp; Amort. (other)</t>
  </si>
  <si>
    <t>(–) Stock-Based Compensation</t>
  </si>
  <si>
    <t>(–) Capital Expenditures</t>
  </si>
  <si>
    <t>(–) Change in Net Working Capital</t>
  </si>
  <si>
    <t>Unlevered Free Cash Flow</t>
  </si>
  <si>
    <t xml:space="preserve">  Cumulative FCF</t>
  </si>
  <si>
    <t>DCF Valuation Summary</t>
  </si>
  <si>
    <t>Year</t>
  </si>
  <si>
    <t>Free Cash Flow ($M)</t>
  </si>
  <si>
    <t>Discount Factor</t>
  </si>
  <si>
    <t>Present Value ($M)</t>
  </si>
  <si>
    <t>(linked from WACC sheet)</t>
  </si>
  <si>
    <t>FY2026</t>
  </si>
  <si>
    <t>FY2027</t>
  </si>
  <si>
    <t>FY2028</t>
  </si>
  <si>
    <t>FY2029</t>
  </si>
  <si>
    <t>FY2030</t>
  </si>
  <si>
    <t>Sum of PV of FCF (2026-2030)</t>
  </si>
  <si>
    <t>FCF in 2030 (final year)</t>
  </si>
  <si>
    <t>Terminal Growth Rate (g)</t>
  </si>
  <si>
    <t>Terminal Value = FCF×(1+g)/(WACC-g)</t>
  </si>
  <si>
    <t>Gordon Growth Model</t>
  </si>
  <si>
    <t>Discount Factor (Year 5)</t>
  </si>
  <si>
    <t>PV of Terminal Value</t>
  </si>
  <si>
    <t>ENTERPRISE VALUE &amp; EQUITY VALUE</t>
  </si>
  <si>
    <t>PV of FCF (2026-2030)</t>
  </si>
  <si>
    <t>(+) Cumulative FCF adjustment</t>
  </si>
  <si>
    <t>No mid-year convention adjustment</t>
  </si>
  <si>
    <t>Enterprise Value</t>
  </si>
  <si>
    <t>(–) Total Debt</t>
  </si>
  <si>
    <t>From 2025 10-K Balance Sheet</t>
  </si>
  <si>
    <t>(+) Cash &amp; ST Investments</t>
  </si>
  <si>
    <t>Enterprise Value (ref)</t>
  </si>
  <si>
    <t>Net Debt</t>
  </si>
  <si>
    <t>Equity Value</t>
  </si>
  <si>
    <t>Diluted Shares Outstanding (M)</t>
  </si>
  <si>
    <t>From 2025 10-K Note 13</t>
  </si>
  <si>
    <t>Implied Share Price</t>
  </si>
  <si>
    <t>Reference: AMD price on Jan 30, 2026</t>
  </si>
  <si>
    <t>Implied Premium/(Discount) vs. Market</t>
  </si>
  <si>
    <t>Notes:</t>
  </si>
  <si>
    <t>• OpenAI warrant (up to 160M shares at $0.01) excluded from base case; potential dilution.</t>
  </si>
  <si>
    <t>• SBC treated as cash expense (subtracted from FCF) per conservative methodology.</t>
  </si>
  <si>
    <t>• Amortization of acquisition-related intangibles added back (non-cash).</t>
  </si>
  <si>
    <t>• Tax rate normalized to 15% (2025 was -2.5% due to one-time IRS release).</t>
  </si>
  <si>
    <t>• Terminal value uses Gordon Growth Model with 3.0% perpetual growth.</t>
  </si>
  <si>
    <t>Sensitivity Analysis: Implied Share Price</t>
  </si>
  <si>
    <t>This table shows the implied share price at various WACC and terminal growth rate combinations.</t>
  </si>
  <si>
    <t>All other assumptions remain unchanged from the base case.</t>
  </si>
  <si>
    <t>WACC ↓ \ Term. Growth →</t>
  </si>
  <si>
    <t>Base case WACC:</t>
  </si>
  <si>
    <t>Base case TG:</t>
  </si>
  <si>
    <t>Base case price:</t>
  </si>
  <si>
    <t>• Each cell independently recalculates the entire DCF with the given WACC and TG.</t>
  </si>
  <si>
    <t>• All other assumptions (revenue growth, margins, CapEx, etc.) remain at base case.</t>
  </si>
  <si>
    <t>• Yellow input cells on the Assumptions sheet drive the base case.</t>
  </si>
  <si>
    <t>FY2025 Operating Income ($M):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</si>
</sst>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&quot;$&quot;#,##0"/>
    <numFmt numFmtId="166" formatCode="0.0%"/>
    <numFmt numFmtId="167" formatCode="#,##0;\(#,##0\)"/>
    <numFmt numFmtId="168" formatCode="0.0000"/>
    <numFmt numFmtId="170" formatCode="#,##0.00;\(#,##0.00\)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1F4E78"/>
      <name val="Calibri"/>
      <family val="2"/>
    </font>
    <font>
      <i/>
      <sz val="9"/>
      <color rgb="FF808080"/>
      <name val="Calibri"/>
      <family val="2"/>
    </font>
    <font>
      <b/>
      <sz val="10"/>
      <color rgb="FFFFFFFF"/>
      <name val="Calibri"/>
      <family val="2"/>
    </font>
    <font>
      <b/>
      <sz val="10"/>
      <color rgb="FF0000CC"/>
      <name val="Calibri"/>
      <family val="2"/>
    </font>
    <font>
      <b/>
      <sz val="10"/>
      <color rgb="FF1F4E78"/>
      <name val="Calibri"/>
      <family val="2"/>
    </font>
    <font>
      <b/>
      <sz val="12"/>
      <color rgb="FFFFFFFF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7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167" fontId="4" fillId="4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10" fontId="8" fillId="5" borderId="1" xfId="0" applyNumberFormat="1" applyFont="1" applyFill="1" applyBorder="1" applyAlignment="1">
      <alignment horizontal="center" vertical="center"/>
    </xf>
    <xf numFmtId="10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167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0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67" fontId="4" fillId="0" borderId="1" xfId="0" applyNumberFormat="1" applyFont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0" fontId="4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167" fontId="3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167" fontId="10" fillId="2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 wrapText="1"/>
    </xf>
    <xf numFmtId="164" fontId="13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170" fontId="8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showGridLines="0" workbookViewId="0">
      <selection activeCell="E10" sqref="E10"/>
    </sheetView>
  </sheetViews>
  <sheetFormatPr defaultRowHeight="15" x14ac:dyDescent="0.25"/>
  <cols>
    <col min="1" max="1" width="3" customWidth="1"/>
    <col min="2" max="2" width="31.140625" customWidth="1"/>
    <col min="3" max="3" width="11.5703125" customWidth="1"/>
    <col min="4" max="4" width="27" customWidth="1"/>
    <col min="5" max="5" width="16.5703125" customWidth="1"/>
    <col min="6" max="6" width="11.5703125" customWidth="1"/>
    <col min="7" max="7" width="48.7109375" customWidth="1"/>
  </cols>
  <sheetData>
    <row r="2" spans="2:7" ht="30" customHeight="1" x14ac:dyDescent="0.25">
      <c r="B2" s="56" t="s">
        <v>0</v>
      </c>
      <c r="C2" s="54"/>
      <c r="D2" s="54"/>
      <c r="E2" s="54"/>
      <c r="F2" s="54"/>
      <c r="G2" s="54"/>
    </row>
    <row r="3" spans="2:7" ht="21.95" customHeight="1" x14ac:dyDescent="0.25">
      <c r="B3" s="56" t="s">
        <v>1</v>
      </c>
      <c r="C3" s="54"/>
      <c r="D3" s="54"/>
      <c r="E3" s="54"/>
      <c r="F3" s="54"/>
      <c r="G3" s="54"/>
    </row>
    <row r="5" spans="2:7" ht="15.75" x14ac:dyDescent="0.25">
      <c r="B5" s="1" t="s">
        <v>2</v>
      </c>
    </row>
    <row r="6" spans="2:7" x14ac:dyDescent="0.25">
      <c r="B6" s="57" t="s">
        <v>3</v>
      </c>
      <c r="C6" s="54"/>
      <c r="D6" s="54"/>
      <c r="E6" s="54"/>
      <c r="F6" s="54"/>
      <c r="G6" s="54"/>
    </row>
    <row r="7" spans="2:7" ht="22.5" customHeight="1" x14ac:dyDescent="0.25">
      <c r="B7" s="54"/>
      <c r="C7" s="54"/>
      <c r="D7" s="54"/>
      <c r="E7" s="54"/>
      <c r="F7" s="54"/>
      <c r="G7" s="54"/>
    </row>
    <row r="9" spans="2:7" ht="31.5" x14ac:dyDescent="0.25">
      <c r="B9" s="1" t="s">
        <v>4</v>
      </c>
      <c r="D9" s="1" t="s">
        <v>20</v>
      </c>
      <c r="G9" s="1" t="s">
        <v>13</v>
      </c>
    </row>
    <row r="10" spans="2:7" ht="39.75" customHeight="1" x14ac:dyDescent="0.25">
      <c r="B10" s="2" t="s">
        <v>5</v>
      </c>
      <c r="D10" s="3" t="s">
        <v>21</v>
      </c>
      <c r="E10" s="4">
        <f>'DCF Valuation'!C36</f>
        <v>71.949722580853603</v>
      </c>
      <c r="G10" s="2" t="s">
        <v>14</v>
      </c>
    </row>
    <row r="11" spans="2:7" ht="39.75" customHeight="1" x14ac:dyDescent="0.25">
      <c r="B11" s="2" t="s">
        <v>6</v>
      </c>
      <c r="D11" s="3" t="s">
        <v>22</v>
      </c>
      <c r="E11" s="5">
        <f>'DCF Valuation'!C30</f>
        <v>110407.7461422765</v>
      </c>
      <c r="G11" s="2" t="s">
        <v>15</v>
      </c>
    </row>
    <row r="12" spans="2:7" ht="39.75" customHeight="1" x14ac:dyDescent="0.25">
      <c r="B12" s="2" t="s">
        <v>7</v>
      </c>
      <c r="D12" s="3" t="s">
        <v>23</v>
      </c>
      <c r="E12" s="5">
        <f>'DCF Valuation'!C33</f>
        <v>117709.7461422765</v>
      </c>
      <c r="G12" s="2" t="s">
        <v>16</v>
      </c>
    </row>
    <row r="13" spans="2:7" ht="39.75" customHeight="1" x14ac:dyDescent="0.25">
      <c r="B13" s="2" t="s">
        <v>8</v>
      </c>
      <c r="D13" s="3" t="s">
        <v>24</v>
      </c>
      <c r="E13" s="6">
        <f>WACC!C24</f>
        <v>0.13789625369489783</v>
      </c>
      <c r="G13" s="2" t="s">
        <v>17</v>
      </c>
    </row>
    <row r="14" spans="2:7" ht="39.75" customHeight="1" x14ac:dyDescent="0.25">
      <c r="B14" s="2" t="s">
        <v>9</v>
      </c>
      <c r="D14" s="3" t="s">
        <v>25</v>
      </c>
      <c r="E14" s="7">
        <f>Assumptions!C45</f>
        <v>0.03</v>
      </c>
      <c r="G14" s="2" t="s">
        <v>18</v>
      </c>
    </row>
    <row r="15" spans="2:7" ht="39.75" customHeight="1" x14ac:dyDescent="0.25">
      <c r="B15" s="2" t="s">
        <v>10</v>
      </c>
      <c r="D15" s="3" t="s">
        <v>26</v>
      </c>
      <c r="E15" s="8">
        <f>Historicals!G8</f>
        <v>34639</v>
      </c>
      <c r="G15" s="2" t="s">
        <v>19</v>
      </c>
    </row>
    <row r="16" spans="2:7" ht="39.75" customHeight="1" x14ac:dyDescent="0.25">
      <c r="B16" s="2" t="s">
        <v>11</v>
      </c>
      <c r="D16" s="3" t="s">
        <v>231</v>
      </c>
      <c r="E16" s="8">
        <f>Historicals!G24</f>
        <v>3694</v>
      </c>
    </row>
    <row r="17" spans="2:5" ht="39.75" customHeight="1" x14ac:dyDescent="0.25">
      <c r="B17" s="2" t="s">
        <v>12</v>
      </c>
      <c r="D17" s="3" t="s">
        <v>27</v>
      </c>
      <c r="E17" s="8">
        <f>Assumptions!C41</f>
        <v>1636</v>
      </c>
    </row>
    <row r="38" spans="2:2" ht="24" x14ac:dyDescent="0.25">
      <c r="B38" s="9" t="s">
        <v>28</v>
      </c>
    </row>
    <row r="39" spans="2:2" ht="36" x14ac:dyDescent="0.25">
      <c r="B39" s="9" t="s">
        <v>29</v>
      </c>
    </row>
  </sheetData>
  <mergeCells count="3">
    <mergeCell ref="B3:G3"/>
    <mergeCell ref="B2:G2"/>
    <mergeCell ref="B6:G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63"/>
  <sheetViews>
    <sheetView showGridLines="0" tabSelected="1" workbookViewId="0">
      <selection activeCell="G8" sqref="G8"/>
    </sheetView>
  </sheetViews>
  <sheetFormatPr defaultRowHeight="15" x14ac:dyDescent="0.25"/>
  <cols>
    <col min="1" max="1" width="3" customWidth="1"/>
    <col min="2" max="2" width="42" customWidth="1"/>
    <col min="3" max="7" width="13" customWidth="1"/>
  </cols>
  <sheetData>
    <row r="2" spans="2:7" ht="26.1" customHeight="1" x14ac:dyDescent="0.25">
      <c r="B2" s="56" t="s">
        <v>30</v>
      </c>
      <c r="C2" s="54"/>
      <c r="D2" s="54"/>
      <c r="E2" s="54"/>
      <c r="F2" s="54"/>
      <c r="G2" s="54"/>
    </row>
    <row r="4" spans="2:7" x14ac:dyDescent="0.25">
      <c r="B4" s="3" t="s">
        <v>31</v>
      </c>
      <c r="C4" s="10">
        <v>2021</v>
      </c>
      <c r="D4" s="10">
        <v>2022</v>
      </c>
      <c r="E4" s="10">
        <v>2023</v>
      </c>
      <c r="F4" s="10">
        <v>2024</v>
      </c>
      <c r="G4" s="10">
        <v>2025</v>
      </c>
    </row>
    <row r="5" spans="2:7" x14ac:dyDescent="0.25">
      <c r="B5" s="3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</row>
    <row r="7" spans="2:7" x14ac:dyDescent="0.25">
      <c r="B7" s="55" t="s">
        <v>38</v>
      </c>
      <c r="C7" s="54"/>
      <c r="D7" s="54"/>
      <c r="E7" s="54"/>
      <c r="F7" s="54"/>
      <c r="G7" s="54"/>
    </row>
    <row r="8" spans="2:7" x14ac:dyDescent="0.25">
      <c r="B8" s="13" t="s">
        <v>39</v>
      </c>
      <c r="C8" s="14">
        <v>16434</v>
      </c>
      <c r="D8" s="14">
        <v>23601</v>
      </c>
      <c r="E8" s="14">
        <v>22680</v>
      </c>
      <c r="F8" s="14">
        <v>25785</v>
      </c>
      <c r="G8" s="14">
        <v>34639</v>
      </c>
    </row>
    <row r="9" spans="2:7" x14ac:dyDescent="0.25">
      <c r="B9" s="15" t="s">
        <v>40</v>
      </c>
      <c r="C9" s="16" t="s">
        <v>41</v>
      </c>
      <c r="D9" s="17">
        <f>D8/C8-1</f>
        <v>0.43610806863818907</v>
      </c>
      <c r="E9" s="17">
        <f>E8/D8-1</f>
        <v>-3.9023770179229644E-2</v>
      </c>
      <c r="F9" s="17">
        <f>F8/E8-1</f>
        <v>0.13690476190476186</v>
      </c>
      <c r="G9" s="17">
        <f>G8/F8-1</f>
        <v>0.3433779329067288</v>
      </c>
    </row>
    <row r="10" spans="2:7" x14ac:dyDescent="0.25">
      <c r="B10" s="15" t="s">
        <v>42</v>
      </c>
      <c r="C10" s="14">
        <v>7609</v>
      </c>
      <c r="D10" s="14">
        <v>11550</v>
      </c>
      <c r="E10" s="14">
        <v>11278</v>
      </c>
      <c r="F10" s="14">
        <v>12114</v>
      </c>
      <c r="G10" s="14">
        <v>16456</v>
      </c>
    </row>
    <row r="11" spans="2:7" x14ac:dyDescent="0.25">
      <c r="B11" s="15" t="s">
        <v>43</v>
      </c>
      <c r="C11" s="14">
        <v>509</v>
      </c>
      <c r="D11" s="14">
        <v>1448</v>
      </c>
      <c r="E11" s="14">
        <v>942</v>
      </c>
      <c r="F11" s="14">
        <v>946</v>
      </c>
      <c r="G11" s="14">
        <v>1031</v>
      </c>
    </row>
    <row r="12" spans="2:7" x14ac:dyDescent="0.25">
      <c r="B12" s="18" t="s">
        <v>44</v>
      </c>
      <c r="C12" s="19">
        <f>C8-C10-C11</f>
        <v>8316</v>
      </c>
      <c r="D12" s="19">
        <f>D8-D10-D11</f>
        <v>10603</v>
      </c>
      <c r="E12" s="19">
        <f>E8-E10-E11</f>
        <v>10460</v>
      </c>
      <c r="F12" s="19">
        <f>F8-F10-F11</f>
        <v>12725</v>
      </c>
      <c r="G12" s="19">
        <f>G8-G10-G11</f>
        <v>17152</v>
      </c>
    </row>
    <row r="13" spans="2:7" x14ac:dyDescent="0.25">
      <c r="B13" s="15" t="s">
        <v>45</v>
      </c>
      <c r="C13" s="17">
        <f>C12/C8</f>
        <v>0.50602409638554213</v>
      </c>
      <c r="D13" s="17">
        <f>D12/D8</f>
        <v>0.4492606245498072</v>
      </c>
      <c r="E13" s="17">
        <f>E12/E8</f>
        <v>0.46119929453262787</v>
      </c>
      <c r="F13" s="17">
        <f>F12/F8</f>
        <v>0.49350397517936784</v>
      </c>
      <c r="G13" s="17">
        <f>G12/G8</f>
        <v>0.49516441005802708</v>
      </c>
    </row>
    <row r="15" spans="2:7" x14ac:dyDescent="0.25">
      <c r="B15" s="55" t="s">
        <v>46</v>
      </c>
      <c r="C15" s="54"/>
      <c r="D15" s="54"/>
      <c r="E15" s="54"/>
      <c r="F15" s="54"/>
      <c r="G15" s="54"/>
    </row>
    <row r="16" spans="2:7" x14ac:dyDescent="0.25">
      <c r="B16" s="15" t="s">
        <v>47</v>
      </c>
      <c r="C16" s="14">
        <v>4407</v>
      </c>
      <c r="D16" s="14">
        <v>5005</v>
      </c>
      <c r="E16" s="14">
        <v>5872</v>
      </c>
      <c r="F16" s="14">
        <v>6456</v>
      </c>
      <c r="G16" s="14">
        <v>8091</v>
      </c>
    </row>
    <row r="17" spans="2:7" x14ac:dyDescent="0.25">
      <c r="B17" s="15" t="s">
        <v>48</v>
      </c>
      <c r="C17" s="17">
        <f>C16/C8</f>
        <v>0.26816356334428626</v>
      </c>
      <c r="D17" s="17">
        <f>D16/D8</f>
        <v>0.21206728528452184</v>
      </c>
      <c r="E17" s="17">
        <f>E16/E8</f>
        <v>0.25890652557319221</v>
      </c>
      <c r="F17" s="17">
        <f>F16/F8</f>
        <v>0.25037812681791738</v>
      </c>
      <c r="G17" s="17">
        <f>G16/G8</f>
        <v>0.23358064609255463</v>
      </c>
    </row>
    <row r="18" spans="2:7" x14ac:dyDescent="0.25">
      <c r="B18" s="15" t="s">
        <v>49</v>
      </c>
      <c r="C18" s="14">
        <v>1905</v>
      </c>
      <c r="D18" s="14">
        <v>2336</v>
      </c>
      <c r="E18" s="14">
        <v>2352</v>
      </c>
      <c r="F18" s="14">
        <v>2783</v>
      </c>
      <c r="G18" s="14">
        <v>4144</v>
      </c>
    </row>
    <row r="19" spans="2:7" x14ac:dyDescent="0.25">
      <c r="B19" s="15" t="s">
        <v>50</v>
      </c>
      <c r="C19" s="17">
        <f>C18/C8</f>
        <v>0.11591821832785688</v>
      </c>
      <c r="D19" s="17">
        <f>D18/D8</f>
        <v>9.8978856828100509E-2</v>
      </c>
      <c r="E19" s="17">
        <f>E18/E8</f>
        <v>0.1037037037037037</v>
      </c>
      <c r="F19" s="17">
        <f>F18/F8</f>
        <v>0.10793096761683149</v>
      </c>
      <c r="G19" s="17">
        <f>G18/G8</f>
        <v>0.11963393862409423</v>
      </c>
    </row>
    <row r="20" spans="2:7" x14ac:dyDescent="0.25">
      <c r="B20" s="15" t="s">
        <v>51</v>
      </c>
      <c r="C20" s="14">
        <v>525</v>
      </c>
      <c r="D20" s="14">
        <v>2100</v>
      </c>
      <c r="E20" s="14">
        <v>1869</v>
      </c>
      <c r="F20" s="14">
        <v>1448</v>
      </c>
      <c r="G20" s="14">
        <v>1223</v>
      </c>
    </row>
    <row r="21" spans="2:7" x14ac:dyDescent="0.25">
      <c r="B21" s="15" t="s">
        <v>52</v>
      </c>
      <c r="C21" s="14">
        <v>0</v>
      </c>
      <c r="D21" s="14">
        <v>0</v>
      </c>
      <c r="E21" s="14">
        <v>0</v>
      </c>
      <c r="F21" s="14">
        <v>186</v>
      </c>
      <c r="G21" s="14">
        <v>0</v>
      </c>
    </row>
    <row r="22" spans="2:7" x14ac:dyDescent="0.25">
      <c r="B22" s="15" t="s">
        <v>53</v>
      </c>
      <c r="C22" s="14">
        <v>47</v>
      </c>
      <c r="D22" s="14">
        <v>102</v>
      </c>
      <c r="E22" s="14">
        <v>34</v>
      </c>
      <c r="F22" s="14">
        <v>48</v>
      </c>
      <c r="G22" s="14">
        <v>0</v>
      </c>
    </row>
    <row r="23" spans="2:7" x14ac:dyDescent="0.25">
      <c r="B23" s="18" t="s">
        <v>54</v>
      </c>
      <c r="C23" s="19">
        <f>C16+C18+C20+C21-C22</f>
        <v>6790</v>
      </c>
      <c r="D23" s="19">
        <f>D16+D18+D20+D21-D22</f>
        <v>9339</v>
      </c>
      <c r="E23" s="19">
        <f>E16+E18+E20+E21-E22</f>
        <v>10059</v>
      </c>
      <c r="F23" s="19">
        <f>F16+F18+F20+F21-F22</f>
        <v>10825</v>
      </c>
      <c r="G23" s="19">
        <f>G16+G18+G20+G21-G22</f>
        <v>13458</v>
      </c>
    </row>
    <row r="24" spans="2:7" x14ac:dyDescent="0.25">
      <c r="B24" s="18" t="s">
        <v>55</v>
      </c>
      <c r="C24" s="19">
        <f>C12-C23</f>
        <v>1526</v>
      </c>
      <c r="D24" s="19">
        <f>D12-D23</f>
        <v>1264</v>
      </c>
      <c r="E24" s="19">
        <f>E12-E23</f>
        <v>401</v>
      </c>
      <c r="F24" s="19">
        <f>F12-F23</f>
        <v>1900</v>
      </c>
      <c r="G24" s="19">
        <f>G12-G23</f>
        <v>3694</v>
      </c>
    </row>
    <row r="25" spans="2:7" x14ac:dyDescent="0.25">
      <c r="B25" s="15" t="s">
        <v>56</v>
      </c>
      <c r="C25" s="17">
        <f>C24/C8</f>
        <v>9.2856273579165149E-2</v>
      </c>
      <c r="D25" s="17">
        <f>D24/D8</f>
        <v>5.3557052667259859E-2</v>
      </c>
      <c r="E25" s="17">
        <f>E24/E8</f>
        <v>1.7680776014109348E-2</v>
      </c>
      <c r="F25" s="17">
        <f>F24/F8</f>
        <v>7.3686251696722896E-2</v>
      </c>
      <c r="G25" s="17">
        <f>G24/G8</f>
        <v>0.10664280146655504</v>
      </c>
    </row>
    <row r="26" spans="2:7" x14ac:dyDescent="0.25">
      <c r="B26" s="15" t="s">
        <v>57</v>
      </c>
      <c r="C26" s="14">
        <v>250</v>
      </c>
      <c r="D26" s="14">
        <v>88</v>
      </c>
      <c r="E26" s="14">
        <v>106</v>
      </c>
      <c r="F26" s="14">
        <v>92</v>
      </c>
      <c r="G26" s="14">
        <v>131</v>
      </c>
    </row>
    <row r="27" spans="2:7" x14ac:dyDescent="0.25">
      <c r="B27" s="15" t="s">
        <v>58</v>
      </c>
      <c r="C27" s="14">
        <v>25</v>
      </c>
      <c r="D27" s="14">
        <v>8</v>
      </c>
      <c r="E27" s="14">
        <v>197</v>
      </c>
      <c r="F27" s="14">
        <v>181</v>
      </c>
      <c r="G27" s="14">
        <v>577</v>
      </c>
    </row>
    <row r="28" spans="2:7" x14ac:dyDescent="0.25">
      <c r="B28" s="18" t="s">
        <v>59</v>
      </c>
      <c r="C28" s="19">
        <f>C24-C26+C27</f>
        <v>1301</v>
      </c>
      <c r="D28" s="19">
        <f>D24-D26+D27</f>
        <v>1184</v>
      </c>
      <c r="E28" s="19">
        <f>E24-E26+E27</f>
        <v>492</v>
      </c>
      <c r="F28" s="19">
        <f>F24-F26+F27</f>
        <v>1989</v>
      </c>
      <c r="G28" s="19">
        <f>G24-G26+G27</f>
        <v>4140</v>
      </c>
    </row>
    <row r="29" spans="2:7" x14ac:dyDescent="0.25">
      <c r="B29" s="15" t="s">
        <v>60</v>
      </c>
      <c r="C29" s="14">
        <v>525</v>
      </c>
      <c r="D29" s="14">
        <v>122</v>
      </c>
      <c r="E29" s="14">
        <v>-346</v>
      </c>
      <c r="F29" s="14">
        <v>381</v>
      </c>
      <c r="G29" s="14">
        <v>-103</v>
      </c>
    </row>
    <row r="30" spans="2:7" x14ac:dyDescent="0.25">
      <c r="B30" s="15" t="s">
        <v>61</v>
      </c>
      <c r="C30" s="17">
        <f>C29/C28</f>
        <v>0.40353574173712531</v>
      </c>
      <c r="D30" s="17">
        <f>D29/D28</f>
        <v>0.10304054054054054</v>
      </c>
      <c r="E30" s="17">
        <f>E29/E28</f>
        <v>-0.7032520325203252</v>
      </c>
      <c r="F30" s="17">
        <f>F29/F28</f>
        <v>0.19155354449472098</v>
      </c>
      <c r="G30" s="17">
        <f>G29/G28</f>
        <v>-2.4879227053140097E-2</v>
      </c>
    </row>
    <row r="31" spans="2:7" x14ac:dyDescent="0.25">
      <c r="B31" s="18" t="s">
        <v>62</v>
      </c>
      <c r="C31" s="19">
        <v>3162</v>
      </c>
      <c r="D31" s="19">
        <v>1320</v>
      </c>
      <c r="E31" s="19">
        <v>854</v>
      </c>
      <c r="F31" s="19">
        <v>1641</v>
      </c>
      <c r="G31" s="19">
        <v>4335</v>
      </c>
    </row>
    <row r="32" spans="2:7" x14ac:dyDescent="0.25">
      <c r="B32" s="15" t="s">
        <v>63</v>
      </c>
      <c r="C32" s="17">
        <f>C31/C8</f>
        <v>0.19240598758671049</v>
      </c>
      <c r="D32" s="17">
        <f>D31/D8</f>
        <v>5.5929833481632135E-2</v>
      </c>
      <c r="E32" s="17">
        <f>E31/E8</f>
        <v>3.7654320987654324E-2</v>
      </c>
      <c r="F32" s="17">
        <f>F31/F8</f>
        <v>6.3641652123327522E-2</v>
      </c>
      <c r="G32" s="17">
        <f>G31/G8</f>
        <v>0.12514795461762754</v>
      </c>
    </row>
    <row r="33" spans="2:7" x14ac:dyDescent="0.25">
      <c r="B33" s="15" t="s">
        <v>64</v>
      </c>
      <c r="C33" s="20">
        <v>2.58</v>
      </c>
      <c r="D33" s="20">
        <v>0.84</v>
      </c>
      <c r="E33" s="20">
        <v>0.53</v>
      </c>
      <c r="F33" s="20">
        <v>1</v>
      </c>
      <c r="G33" s="20">
        <v>2.65</v>
      </c>
    </row>
    <row r="34" spans="2:7" x14ac:dyDescent="0.25">
      <c r="B34" s="15" t="s">
        <v>65</v>
      </c>
      <c r="C34" s="14">
        <v>1225</v>
      </c>
      <c r="D34" s="14">
        <v>1571</v>
      </c>
      <c r="E34" s="14">
        <v>1625</v>
      </c>
      <c r="F34" s="14">
        <v>1637</v>
      </c>
      <c r="G34" s="14">
        <v>1636</v>
      </c>
    </row>
    <row r="36" spans="2:7" x14ac:dyDescent="0.25">
      <c r="B36" s="55" t="s">
        <v>66</v>
      </c>
      <c r="C36" s="54"/>
      <c r="D36" s="54"/>
      <c r="E36" s="54"/>
      <c r="F36" s="54"/>
      <c r="G36" s="54"/>
    </row>
    <row r="37" spans="2:7" x14ac:dyDescent="0.25">
      <c r="B37" s="15" t="s">
        <v>67</v>
      </c>
      <c r="C37" s="14">
        <v>2730</v>
      </c>
      <c r="D37" s="14">
        <v>3565</v>
      </c>
      <c r="E37" s="14">
        <v>1667</v>
      </c>
      <c r="F37" s="14">
        <v>3041</v>
      </c>
      <c r="G37" s="14">
        <v>6493</v>
      </c>
    </row>
    <row r="38" spans="2:7" x14ac:dyDescent="0.25">
      <c r="B38" s="15" t="s">
        <v>68</v>
      </c>
      <c r="C38" s="14">
        <v>286</v>
      </c>
      <c r="D38" s="14">
        <v>450</v>
      </c>
      <c r="E38" s="14">
        <v>546</v>
      </c>
      <c r="F38" s="14">
        <v>636</v>
      </c>
      <c r="G38" s="14">
        <v>974</v>
      </c>
    </row>
    <row r="39" spans="2:7" x14ac:dyDescent="0.25">
      <c r="B39" s="18" t="s">
        <v>69</v>
      </c>
      <c r="C39" s="19">
        <f>C37-C38</f>
        <v>2444</v>
      </c>
      <c r="D39" s="19">
        <f>D37-D38</f>
        <v>3115</v>
      </c>
      <c r="E39" s="19">
        <f>E37-E38</f>
        <v>1121</v>
      </c>
      <c r="F39" s="19">
        <f>F37-F38</f>
        <v>2405</v>
      </c>
      <c r="G39" s="19">
        <f>G37-G38</f>
        <v>5519</v>
      </c>
    </row>
    <row r="40" spans="2:7" x14ac:dyDescent="0.25">
      <c r="B40" s="15" t="s">
        <v>70</v>
      </c>
      <c r="C40" s="17">
        <f>C39/C8</f>
        <v>0.14871607642691981</v>
      </c>
      <c r="D40" s="17">
        <f>D39/D8</f>
        <v>0.13198593279945764</v>
      </c>
      <c r="E40" s="17">
        <f>E39/E8</f>
        <v>4.9426807760141092E-2</v>
      </c>
      <c r="F40" s="17">
        <f>F39/F8</f>
        <v>9.3271281752957153E-2</v>
      </c>
      <c r="G40" s="17">
        <f>G39/G8</f>
        <v>0.1593290799387973</v>
      </c>
    </row>
    <row r="41" spans="2:7" x14ac:dyDescent="0.25">
      <c r="B41" s="15" t="s">
        <v>71</v>
      </c>
      <c r="C41" s="17">
        <f>C38/C8</f>
        <v>1.7402945113788489E-2</v>
      </c>
      <c r="D41" s="17">
        <f>D38/D8</f>
        <v>1.9066988686920045E-2</v>
      </c>
      <c r="E41" s="17">
        <f>E38/E8</f>
        <v>2.4074074074074074E-2</v>
      </c>
      <c r="F41" s="17">
        <f>F38/F8</f>
        <v>2.4665503199534613E-2</v>
      </c>
      <c r="G41" s="17">
        <f>G38/G8</f>
        <v>2.8118594647651492E-2</v>
      </c>
    </row>
    <row r="42" spans="2:7" x14ac:dyDescent="0.25">
      <c r="B42" s="15" t="s">
        <v>72</v>
      </c>
      <c r="C42" s="14">
        <v>580</v>
      </c>
      <c r="D42" s="14">
        <v>626</v>
      </c>
      <c r="E42" s="14">
        <v>642</v>
      </c>
      <c r="F42" s="14">
        <v>671</v>
      </c>
      <c r="G42" s="14">
        <v>750</v>
      </c>
    </row>
    <row r="43" spans="2:7" x14ac:dyDescent="0.25">
      <c r="B43" s="15" t="s">
        <v>73</v>
      </c>
      <c r="C43" s="14">
        <v>1256</v>
      </c>
      <c r="D43" s="14">
        <v>1081</v>
      </c>
      <c r="E43" s="14">
        <v>1384</v>
      </c>
      <c r="F43" s="14">
        <v>1407</v>
      </c>
      <c r="G43" s="14">
        <v>1638</v>
      </c>
    </row>
    <row r="44" spans="2:7" x14ac:dyDescent="0.25">
      <c r="B44" s="15" t="s">
        <v>74</v>
      </c>
      <c r="C44" s="17">
        <f>C43/C8</f>
        <v>7.6426919800413773E-2</v>
      </c>
      <c r="D44" s="17">
        <f>D43/D8</f>
        <v>4.5803143934579044E-2</v>
      </c>
      <c r="E44" s="17">
        <f>E43/E8</f>
        <v>6.1022927689594358E-2</v>
      </c>
      <c r="F44" s="17">
        <f>F43/F8</f>
        <v>5.4566608493310062E-2</v>
      </c>
      <c r="G44" s="17">
        <f>G43/G8</f>
        <v>4.7287739253442651E-2</v>
      </c>
    </row>
    <row r="46" spans="2:7" x14ac:dyDescent="0.25">
      <c r="B46" s="55" t="s">
        <v>75</v>
      </c>
      <c r="C46" s="54"/>
      <c r="D46" s="54"/>
      <c r="E46" s="54"/>
      <c r="F46" s="54"/>
      <c r="G46" s="54"/>
    </row>
    <row r="47" spans="2:7" x14ac:dyDescent="0.25">
      <c r="B47" s="15" t="s">
        <v>76</v>
      </c>
      <c r="C47" s="14">
        <v>3585</v>
      </c>
      <c r="D47" s="14">
        <v>4835</v>
      </c>
      <c r="E47" s="14">
        <v>3933</v>
      </c>
      <c r="F47" s="14">
        <v>3787</v>
      </c>
      <c r="G47" s="14">
        <v>5539</v>
      </c>
    </row>
    <row r="48" spans="2:7" x14ac:dyDescent="0.25">
      <c r="B48" s="15" t="s">
        <v>77</v>
      </c>
      <c r="C48" s="14">
        <v>1250</v>
      </c>
      <c r="D48" s="14">
        <v>0</v>
      </c>
      <c r="E48" s="14">
        <v>1840</v>
      </c>
      <c r="F48" s="14">
        <v>1345</v>
      </c>
      <c r="G48" s="14">
        <v>5013</v>
      </c>
    </row>
    <row r="49" spans="2:7" x14ac:dyDescent="0.25">
      <c r="B49" s="18" t="s">
        <v>78</v>
      </c>
      <c r="C49" s="19">
        <f>C47+C48</f>
        <v>4835</v>
      </c>
      <c r="D49" s="19">
        <f>D47+D48</f>
        <v>4835</v>
      </c>
      <c r="E49" s="19">
        <f>E47+E48</f>
        <v>5773</v>
      </c>
      <c r="F49" s="19">
        <f>F47+F48</f>
        <v>5132</v>
      </c>
      <c r="G49" s="19">
        <f>G47+G48</f>
        <v>10552</v>
      </c>
    </row>
    <row r="50" spans="2:7" x14ac:dyDescent="0.25">
      <c r="B50" s="15" t="s">
        <v>79</v>
      </c>
      <c r="C50" s="14">
        <v>1300</v>
      </c>
      <c r="D50" s="14">
        <v>3200</v>
      </c>
      <c r="E50" s="14">
        <v>2500</v>
      </c>
      <c r="F50" s="14">
        <v>1750</v>
      </c>
      <c r="G50" s="14">
        <v>3250</v>
      </c>
    </row>
    <row r="51" spans="2:7" x14ac:dyDescent="0.25">
      <c r="B51" s="18" t="s">
        <v>80</v>
      </c>
      <c r="C51" s="19">
        <f>C49-C50</f>
        <v>3535</v>
      </c>
      <c r="D51" s="19">
        <f>D49-D50</f>
        <v>1635</v>
      </c>
      <c r="E51" s="19">
        <f>E49-E50</f>
        <v>3273</v>
      </c>
      <c r="F51" s="19">
        <f>F49-F50</f>
        <v>3382</v>
      </c>
      <c r="G51" s="19">
        <f>G49-G50</f>
        <v>7302</v>
      </c>
    </row>
    <row r="52" spans="2:7" x14ac:dyDescent="0.25">
      <c r="B52" s="15" t="s">
        <v>81</v>
      </c>
      <c r="C52" s="14">
        <v>9478</v>
      </c>
      <c r="D52" s="14">
        <v>54750</v>
      </c>
      <c r="E52" s="14">
        <v>55892</v>
      </c>
      <c r="F52" s="14">
        <v>57568</v>
      </c>
      <c r="G52" s="14">
        <v>62999</v>
      </c>
    </row>
    <row r="54" spans="2:7" x14ac:dyDescent="0.25">
      <c r="B54" s="55" t="s">
        <v>82</v>
      </c>
      <c r="C54" s="54"/>
      <c r="D54" s="54"/>
      <c r="E54" s="54"/>
      <c r="F54" s="54"/>
      <c r="G54" s="54"/>
    </row>
    <row r="55" spans="2:7" x14ac:dyDescent="0.25">
      <c r="B55" s="15" t="s">
        <v>83</v>
      </c>
      <c r="C55" s="14">
        <v>2630</v>
      </c>
      <c r="D55" s="14">
        <v>6043</v>
      </c>
      <c r="E55" s="14">
        <v>6496</v>
      </c>
      <c r="F55" s="14">
        <v>12579</v>
      </c>
      <c r="G55" s="14">
        <v>16635</v>
      </c>
    </row>
    <row r="56" spans="2:7" x14ac:dyDescent="0.25">
      <c r="B56" s="15" t="s">
        <v>84</v>
      </c>
      <c r="C56" s="14">
        <v>6600</v>
      </c>
      <c r="D56" s="14">
        <v>6201</v>
      </c>
      <c r="E56" s="14">
        <v>4651</v>
      </c>
      <c r="F56" s="14">
        <v>7054</v>
      </c>
      <c r="G56" s="21" t="s">
        <v>85</v>
      </c>
    </row>
    <row r="57" spans="2:7" x14ac:dyDescent="0.25">
      <c r="B57" s="15" t="s">
        <v>86</v>
      </c>
      <c r="C57" s="21" t="s">
        <v>85</v>
      </c>
      <c r="D57" s="14">
        <v>6805</v>
      </c>
      <c r="E57" s="14">
        <v>6212</v>
      </c>
      <c r="F57" s="14">
        <v>2595</v>
      </c>
      <c r="G57" s="21" t="s">
        <v>85</v>
      </c>
    </row>
    <row r="58" spans="2:7" x14ac:dyDescent="0.25">
      <c r="B58" s="15" t="s">
        <v>87</v>
      </c>
      <c r="C58" s="21" t="s">
        <v>85</v>
      </c>
      <c r="D58" s="21" t="s">
        <v>85</v>
      </c>
      <c r="E58" s="21" t="s">
        <v>85</v>
      </c>
      <c r="F58" s="14">
        <v>9649</v>
      </c>
      <c r="G58" s="14">
        <v>14550</v>
      </c>
    </row>
    <row r="59" spans="2:7" x14ac:dyDescent="0.25">
      <c r="B59" s="15" t="s">
        <v>88</v>
      </c>
      <c r="C59" s="14">
        <v>1160</v>
      </c>
      <c r="D59" s="14">
        <v>4552</v>
      </c>
      <c r="E59" s="14">
        <v>5321</v>
      </c>
      <c r="F59" s="14">
        <v>3557</v>
      </c>
      <c r="G59" s="14">
        <v>3454</v>
      </c>
    </row>
    <row r="60" spans="2:7" x14ac:dyDescent="0.25">
      <c r="B60" s="15" t="s">
        <v>89</v>
      </c>
      <c r="C60" s="17">
        <f>C55/C8</f>
        <v>0.16003407569672629</v>
      </c>
      <c r="D60" s="17">
        <f>D55/D8</f>
        <v>0.25604847252235075</v>
      </c>
      <c r="E60" s="17">
        <f>E55/E8</f>
        <v>0.28641975308641976</v>
      </c>
      <c r="F60" s="17">
        <f>F55/F8</f>
        <v>0.48784176847004074</v>
      </c>
      <c r="G60" s="17">
        <f>G55/G8</f>
        <v>0.48023903692369874</v>
      </c>
    </row>
    <row r="62" spans="2:7" ht="24" x14ac:dyDescent="0.25">
      <c r="B62" s="9" t="s">
        <v>90</v>
      </c>
    </row>
    <row r="63" spans="2:7" ht="24" x14ac:dyDescent="0.25">
      <c r="B63" s="9" t="s">
        <v>91</v>
      </c>
    </row>
  </sheetData>
  <mergeCells count="6">
    <mergeCell ref="B2:G2"/>
    <mergeCell ref="B54:G54"/>
    <mergeCell ref="B46:G46"/>
    <mergeCell ref="B36:G36"/>
    <mergeCell ref="B15:G15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6"/>
  <sheetViews>
    <sheetView showGridLines="0" topLeftCell="A16" workbookViewId="0">
      <selection activeCell="D40" sqref="D40:H40"/>
    </sheetView>
  </sheetViews>
  <sheetFormatPr defaultRowHeight="15" x14ac:dyDescent="0.25"/>
  <cols>
    <col min="1" max="1" width="3" customWidth="1"/>
    <col min="2" max="2" width="42" customWidth="1"/>
    <col min="3" max="3" width="14" customWidth="1"/>
    <col min="4" max="8" width="13" customWidth="1"/>
  </cols>
  <sheetData>
    <row r="2" spans="2:8" ht="26.1" customHeight="1" x14ac:dyDescent="0.25">
      <c r="B2" s="56" t="s">
        <v>92</v>
      </c>
      <c r="C2" s="54"/>
      <c r="D2" s="54"/>
      <c r="E2" s="54"/>
      <c r="F2" s="54"/>
      <c r="G2" s="54"/>
      <c r="H2" s="54"/>
    </row>
    <row r="4" spans="2:8" ht="24" x14ac:dyDescent="0.25">
      <c r="B4" s="9" t="s">
        <v>93</v>
      </c>
    </row>
    <row r="5" spans="2:8" x14ac:dyDescent="0.25">
      <c r="B5" s="3" t="s">
        <v>94</v>
      </c>
      <c r="D5" s="10">
        <v>2026</v>
      </c>
      <c r="E5" s="10">
        <v>2027</v>
      </c>
      <c r="F5" s="10">
        <v>2028</v>
      </c>
      <c r="G5" s="10">
        <v>2029</v>
      </c>
      <c r="H5" s="10">
        <v>2030</v>
      </c>
    </row>
    <row r="7" spans="2:8" x14ac:dyDescent="0.25">
      <c r="B7" s="55" t="s">
        <v>95</v>
      </c>
      <c r="C7" s="54"/>
      <c r="D7" s="54"/>
      <c r="E7" s="54"/>
      <c r="F7" s="54"/>
      <c r="G7" s="54"/>
      <c r="H7" s="54"/>
    </row>
    <row r="8" spans="2:8" x14ac:dyDescent="0.25">
      <c r="B8" s="13" t="s">
        <v>96</v>
      </c>
      <c r="D8" s="22">
        <v>0.32</v>
      </c>
      <c r="E8" s="22">
        <v>0.24</v>
      </c>
      <c r="F8" s="22">
        <v>0.18</v>
      </c>
      <c r="G8" s="22">
        <v>0.14000000000000001</v>
      </c>
      <c r="H8" s="22">
        <v>0.11</v>
      </c>
    </row>
    <row r="9" spans="2:8" ht="24" x14ac:dyDescent="0.25">
      <c r="B9" s="9" t="s">
        <v>97</v>
      </c>
    </row>
    <row r="10" spans="2:8" x14ac:dyDescent="0.25">
      <c r="B10" s="9" t="s">
        <v>98</v>
      </c>
    </row>
    <row r="12" spans="2:8" x14ac:dyDescent="0.25">
      <c r="B12" s="55" t="s">
        <v>99</v>
      </c>
      <c r="C12" s="54"/>
      <c r="D12" s="54"/>
      <c r="E12" s="54"/>
      <c r="F12" s="54"/>
      <c r="G12" s="54"/>
      <c r="H12" s="54"/>
    </row>
    <row r="13" spans="2:8" x14ac:dyDescent="0.25">
      <c r="B13" s="13" t="s">
        <v>100</v>
      </c>
      <c r="D13" s="22">
        <v>0.51</v>
      </c>
      <c r="E13" s="22">
        <v>0.52</v>
      </c>
      <c r="F13" s="22">
        <v>0.52500000000000002</v>
      </c>
      <c r="G13" s="22">
        <v>0.53</v>
      </c>
      <c r="H13" s="22">
        <v>0.53</v>
      </c>
    </row>
    <row r="14" spans="2:8" ht="24" x14ac:dyDescent="0.25">
      <c r="B14" s="9" t="s">
        <v>101</v>
      </c>
    </row>
    <row r="15" spans="2:8" x14ac:dyDescent="0.25">
      <c r="B15" s="13" t="s">
        <v>102</v>
      </c>
      <c r="D15" s="22">
        <v>0.22</v>
      </c>
      <c r="E15" s="22">
        <v>0.2</v>
      </c>
      <c r="F15" s="22">
        <v>0.19</v>
      </c>
      <c r="G15" s="22">
        <v>0.18</v>
      </c>
      <c r="H15" s="22">
        <v>0.17</v>
      </c>
    </row>
    <row r="16" spans="2:8" ht="24" x14ac:dyDescent="0.25">
      <c r="B16" s="9" t="s">
        <v>103</v>
      </c>
    </row>
    <row r="17" spans="2:8" x14ac:dyDescent="0.25">
      <c r="B17" s="13" t="s">
        <v>104</v>
      </c>
      <c r="D17" s="22">
        <v>0.11</v>
      </c>
      <c r="E17" s="22">
        <v>0.1</v>
      </c>
      <c r="F17" s="22">
        <v>9.5000000000000001E-2</v>
      </c>
      <c r="G17" s="22">
        <v>0.09</v>
      </c>
      <c r="H17" s="22">
        <v>8.5000000000000006E-2</v>
      </c>
    </row>
    <row r="18" spans="2:8" ht="24" x14ac:dyDescent="0.25">
      <c r="B18" s="9" t="s">
        <v>105</v>
      </c>
    </row>
    <row r="19" spans="2:8" x14ac:dyDescent="0.25">
      <c r="B19" s="13" t="s">
        <v>106</v>
      </c>
      <c r="D19" s="23">
        <v>2153</v>
      </c>
      <c r="E19" s="23">
        <v>2036</v>
      </c>
      <c r="F19" s="23">
        <v>1923</v>
      </c>
      <c r="G19" s="23">
        <v>1691</v>
      </c>
      <c r="H19" s="23">
        <v>1454</v>
      </c>
    </row>
    <row r="20" spans="2:8" ht="24" x14ac:dyDescent="0.25">
      <c r="B20" s="9" t="s">
        <v>107</v>
      </c>
    </row>
    <row r="22" spans="2:8" x14ac:dyDescent="0.25">
      <c r="B22" s="55" t="s">
        <v>108</v>
      </c>
      <c r="C22" s="54"/>
      <c r="D22" s="54"/>
      <c r="E22" s="54"/>
      <c r="F22" s="54"/>
      <c r="G22" s="54"/>
      <c r="H22" s="54"/>
    </row>
    <row r="23" spans="2:8" x14ac:dyDescent="0.25">
      <c r="B23" s="13" t="s">
        <v>109</v>
      </c>
      <c r="D23" s="22">
        <v>0.15</v>
      </c>
      <c r="E23" s="22">
        <v>0.15</v>
      </c>
      <c r="F23" s="22">
        <v>0.15</v>
      </c>
      <c r="G23" s="22">
        <v>0.15</v>
      </c>
      <c r="H23" s="22">
        <v>0.15</v>
      </c>
    </row>
    <row r="24" spans="2:8" ht="24" x14ac:dyDescent="0.25">
      <c r="B24" s="9" t="s">
        <v>110</v>
      </c>
    </row>
    <row r="25" spans="2:8" x14ac:dyDescent="0.25">
      <c r="B25" s="13" t="s">
        <v>111</v>
      </c>
      <c r="D25" s="22">
        <v>0.03</v>
      </c>
      <c r="E25" s="22">
        <v>0.03</v>
      </c>
      <c r="F25" s="22">
        <v>2.8000000000000001E-2</v>
      </c>
      <c r="G25" s="22">
        <v>2.5000000000000001E-2</v>
      </c>
      <c r="H25" s="22">
        <v>2.5000000000000001E-2</v>
      </c>
    </row>
    <row r="26" spans="2:8" ht="24" x14ac:dyDescent="0.25">
      <c r="B26" s="9" t="s">
        <v>112</v>
      </c>
    </row>
    <row r="27" spans="2:8" x14ac:dyDescent="0.25">
      <c r="B27" s="13" t="s">
        <v>113</v>
      </c>
      <c r="D27" s="22">
        <v>2.5000000000000001E-2</v>
      </c>
      <c r="E27" s="22">
        <v>2.5000000000000001E-2</v>
      </c>
      <c r="F27" s="22">
        <v>2.5000000000000001E-2</v>
      </c>
      <c r="G27" s="22">
        <v>2.5000000000000001E-2</v>
      </c>
      <c r="H27" s="22">
        <v>2.5000000000000001E-2</v>
      </c>
    </row>
    <row r="28" spans="2:8" x14ac:dyDescent="0.25">
      <c r="B28" s="13" t="s">
        <v>114</v>
      </c>
      <c r="D28" s="22">
        <v>0.05</v>
      </c>
      <c r="E28" s="22">
        <v>4.8000000000000001E-2</v>
      </c>
      <c r="F28" s="22">
        <v>4.4999999999999998E-2</v>
      </c>
      <c r="G28" s="22">
        <v>4.2999999999999997E-2</v>
      </c>
      <c r="H28" s="22">
        <v>0.04</v>
      </c>
    </row>
    <row r="29" spans="2:8" ht="24" x14ac:dyDescent="0.25">
      <c r="B29" s="9" t="s">
        <v>115</v>
      </c>
    </row>
    <row r="30" spans="2:8" x14ac:dyDescent="0.25">
      <c r="B30" s="13" t="s">
        <v>116</v>
      </c>
      <c r="D30" s="22">
        <v>0.15</v>
      </c>
      <c r="E30" s="22">
        <v>0.12</v>
      </c>
      <c r="F30" s="22">
        <v>0.1</v>
      </c>
      <c r="G30" s="22">
        <v>0.08</v>
      </c>
      <c r="H30" s="22">
        <v>0.08</v>
      </c>
    </row>
    <row r="31" spans="2:8" ht="24" x14ac:dyDescent="0.25">
      <c r="B31" s="9" t="s">
        <v>117</v>
      </c>
    </row>
    <row r="33" spans="2:8" x14ac:dyDescent="0.25">
      <c r="B33" s="55" t="s">
        <v>118</v>
      </c>
      <c r="C33" s="54"/>
      <c r="D33" s="54"/>
      <c r="E33" s="54"/>
      <c r="F33" s="54"/>
      <c r="G33" s="54"/>
      <c r="H33" s="54"/>
    </row>
    <row r="34" spans="2:8" x14ac:dyDescent="0.25">
      <c r="B34" s="13" t="s">
        <v>119</v>
      </c>
      <c r="C34" s="24">
        <v>4.2500000000000003E-2</v>
      </c>
      <c r="D34" s="53" t="s">
        <v>120</v>
      </c>
      <c r="E34" s="54"/>
      <c r="F34" s="54"/>
      <c r="G34" s="54"/>
      <c r="H34" s="54"/>
    </row>
    <row r="35" spans="2:8" x14ac:dyDescent="0.25">
      <c r="B35" s="13" t="s">
        <v>121</v>
      </c>
      <c r="C35" s="24">
        <v>5.5E-2</v>
      </c>
      <c r="D35" s="53" t="s">
        <v>122</v>
      </c>
      <c r="E35" s="54"/>
      <c r="F35" s="54"/>
      <c r="G35" s="54"/>
      <c r="H35" s="54"/>
    </row>
    <row r="36" spans="2:8" x14ac:dyDescent="0.25">
      <c r="B36" s="13" t="s">
        <v>123</v>
      </c>
      <c r="C36" s="61">
        <v>1.75</v>
      </c>
      <c r="D36" s="53" t="s">
        <v>124</v>
      </c>
      <c r="E36" s="54"/>
      <c r="F36" s="54"/>
      <c r="G36" s="54"/>
      <c r="H36" s="54"/>
    </row>
    <row r="37" spans="2:8" x14ac:dyDescent="0.25">
      <c r="B37" s="13" t="s">
        <v>125</v>
      </c>
      <c r="C37" s="24">
        <v>4.2999999999999997E-2</v>
      </c>
      <c r="D37" s="53" t="s">
        <v>126</v>
      </c>
      <c r="E37" s="54"/>
      <c r="F37" s="54"/>
      <c r="G37" s="54"/>
      <c r="H37" s="54"/>
    </row>
    <row r="38" spans="2:8" x14ac:dyDescent="0.25">
      <c r="B38" s="13" t="s">
        <v>127</v>
      </c>
      <c r="C38" s="23">
        <v>385800</v>
      </c>
      <c r="D38" s="53" t="s">
        <v>128</v>
      </c>
      <c r="E38" s="54"/>
      <c r="F38" s="54"/>
      <c r="G38" s="54"/>
      <c r="H38" s="54"/>
    </row>
    <row r="39" spans="2:8" x14ac:dyDescent="0.25">
      <c r="B39" s="13" t="s">
        <v>129</v>
      </c>
      <c r="C39" s="23">
        <v>3250</v>
      </c>
      <c r="D39" s="53" t="s">
        <v>130</v>
      </c>
      <c r="E39" s="54"/>
      <c r="F39" s="54"/>
      <c r="G39" s="54"/>
      <c r="H39" s="54"/>
    </row>
    <row r="40" spans="2:8" x14ac:dyDescent="0.25">
      <c r="B40" s="13" t="s">
        <v>131</v>
      </c>
      <c r="C40" s="23">
        <v>10552</v>
      </c>
      <c r="D40" s="53" t="s">
        <v>132</v>
      </c>
      <c r="E40" s="54"/>
      <c r="F40" s="54"/>
      <c r="G40" s="54"/>
      <c r="H40" s="54"/>
    </row>
    <row r="41" spans="2:8" x14ac:dyDescent="0.25">
      <c r="B41" s="13" t="s">
        <v>65</v>
      </c>
      <c r="C41" s="23">
        <v>1636</v>
      </c>
      <c r="D41" s="53" t="s">
        <v>133</v>
      </c>
      <c r="E41" s="54"/>
      <c r="F41" s="54"/>
      <c r="G41" s="54"/>
      <c r="H41" s="54"/>
    </row>
    <row r="44" spans="2:8" x14ac:dyDescent="0.25">
      <c r="B44" s="55" t="s">
        <v>134</v>
      </c>
      <c r="C44" s="54"/>
      <c r="D44" s="54"/>
      <c r="E44" s="54"/>
      <c r="F44" s="54"/>
      <c r="G44" s="54"/>
      <c r="H44" s="54"/>
    </row>
    <row r="45" spans="2:8" x14ac:dyDescent="0.25">
      <c r="B45" s="13" t="s">
        <v>135</v>
      </c>
      <c r="C45" s="22">
        <v>0.03</v>
      </c>
    </row>
    <row r="46" spans="2:8" x14ac:dyDescent="0.25">
      <c r="B46" s="9" t="s">
        <v>136</v>
      </c>
    </row>
  </sheetData>
  <mergeCells count="14">
    <mergeCell ref="B12:H12"/>
    <mergeCell ref="B2:H2"/>
    <mergeCell ref="D37:H37"/>
    <mergeCell ref="D38:H38"/>
    <mergeCell ref="B7:H7"/>
    <mergeCell ref="B33:H33"/>
    <mergeCell ref="D36:H36"/>
    <mergeCell ref="B22:H22"/>
    <mergeCell ref="D35:H35"/>
    <mergeCell ref="D39:H39"/>
    <mergeCell ref="D34:H34"/>
    <mergeCell ref="B44:H44"/>
    <mergeCell ref="D41:H41"/>
    <mergeCell ref="D40:H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24"/>
  <sheetViews>
    <sheetView showGridLines="0" workbookViewId="0">
      <selection activeCell="C24" sqref="C24"/>
    </sheetView>
  </sheetViews>
  <sheetFormatPr defaultRowHeight="15" x14ac:dyDescent="0.25"/>
  <cols>
    <col min="1" max="1" width="3" customWidth="1"/>
    <col min="2" max="2" width="38" customWidth="1"/>
    <col min="3" max="3" width="16" customWidth="1"/>
    <col min="4" max="4" width="50" customWidth="1"/>
  </cols>
  <sheetData>
    <row r="2" spans="2:4" ht="26.1" customHeight="1" x14ac:dyDescent="0.25">
      <c r="B2" s="56" t="s">
        <v>137</v>
      </c>
      <c r="C2" s="54"/>
      <c r="D2" s="54"/>
    </row>
    <row r="4" spans="2:4" x14ac:dyDescent="0.25">
      <c r="B4" s="12" t="s">
        <v>138</v>
      </c>
      <c r="C4" s="10" t="s">
        <v>139</v>
      </c>
      <c r="D4" s="12" t="s">
        <v>140</v>
      </c>
    </row>
    <row r="6" spans="2:4" x14ac:dyDescent="0.25">
      <c r="B6" s="58" t="s">
        <v>141</v>
      </c>
      <c r="C6" s="59"/>
      <c r="D6" s="60"/>
    </row>
    <row r="7" spans="2:4" x14ac:dyDescent="0.25">
      <c r="B7" s="15" t="s">
        <v>142</v>
      </c>
      <c r="C7" s="25">
        <f>Assumptions!C34</f>
        <v>4.2500000000000003E-2</v>
      </c>
      <c r="D7" s="9" t="s">
        <v>143</v>
      </c>
    </row>
    <row r="8" spans="2:4" x14ac:dyDescent="0.25">
      <c r="B8" s="15" t="s">
        <v>144</v>
      </c>
      <c r="C8" s="25">
        <f>Assumptions!C35</f>
        <v>5.5E-2</v>
      </c>
      <c r="D8" s="9" t="s">
        <v>122</v>
      </c>
    </row>
    <row r="9" spans="2:4" x14ac:dyDescent="0.25">
      <c r="B9" s="15" t="s">
        <v>145</v>
      </c>
      <c r="C9" s="26">
        <f>Assumptions!C36</f>
        <v>1.75</v>
      </c>
      <c r="D9" s="9" t="s">
        <v>146</v>
      </c>
    </row>
    <row r="10" spans="2:4" x14ac:dyDescent="0.25">
      <c r="B10" s="18" t="s">
        <v>147</v>
      </c>
      <c r="C10" s="27">
        <f>C7+C9*C8</f>
        <v>0.13875000000000001</v>
      </c>
      <c r="D10" s="9" t="s">
        <v>148</v>
      </c>
    </row>
    <row r="12" spans="2:4" x14ac:dyDescent="0.25">
      <c r="B12" s="58" t="s">
        <v>149</v>
      </c>
      <c r="C12" s="59"/>
      <c r="D12" s="60"/>
    </row>
    <row r="13" spans="2:4" ht="24" x14ac:dyDescent="0.25">
      <c r="B13" s="15" t="s">
        <v>150</v>
      </c>
      <c r="C13" s="25">
        <f>Assumptions!C37</f>
        <v>4.2999999999999997E-2</v>
      </c>
      <c r="D13" s="9" t="s">
        <v>151</v>
      </c>
    </row>
    <row r="14" spans="2:4" x14ac:dyDescent="0.25">
      <c r="B14" s="15" t="s">
        <v>152</v>
      </c>
      <c r="C14" s="28">
        <f>Assumptions!D23</f>
        <v>0.15</v>
      </c>
      <c r="D14" s="9" t="s">
        <v>153</v>
      </c>
    </row>
    <row r="15" spans="2:4" x14ac:dyDescent="0.25">
      <c r="B15" s="18" t="s">
        <v>154</v>
      </c>
      <c r="C15" s="27">
        <f>C13*(1-C14)</f>
        <v>3.6549999999999999E-2</v>
      </c>
    </row>
    <row r="17" spans="2:4" x14ac:dyDescent="0.25">
      <c r="B17" s="58" t="s">
        <v>155</v>
      </c>
      <c r="C17" s="59"/>
      <c r="D17" s="60"/>
    </row>
    <row r="18" spans="2:4" x14ac:dyDescent="0.25">
      <c r="B18" s="15" t="s">
        <v>156</v>
      </c>
      <c r="C18" s="29">
        <f>Assumptions!C38</f>
        <v>385800</v>
      </c>
      <c r="D18" s="9" t="s">
        <v>157</v>
      </c>
    </row>
    <row r="19" spans="2:4" x14ac:dyDescent="0.25">
      <c r="B19" s="15" t="s">
        <v>158</v>
      </c>
      <c r="C19" s="29">
        <f>Assumptions!C39</f>
        <v>3250</v>
      </c>
      <c r="D19" s="9" t="s">
        <v>159</v>
      </c>
    </row>
    <row r="20" spans="2:4" x14ac:dyDescent="0.25">
      <c r="B20" s="30" t="s">
        <v>160</v>
      </c>
      <c r="C20" s="31">
        <f>C18+C19</f>
        <v>389050</v>
      </c>
    </row>
    <row r="21" spans="2:4" x14ac:dyDescent="0.25">
      <c r="B21" s="15" t="s">
        <v>161</v>
      </c>
      <c r="C21" s="25">
        <f>C18/C20</f>
        <v>0.9916463179539905</v>
      </c>
    </row>
    <row r="22" spans="2:4" x14ac:dyDescent="0.25">
      <c r="B22" s="15" t="s">
        <v>162</v>
      </c>
      <c r="C22" s="25">
        <f>C19/C20</f>
        <v>8.3536820460095099E-3</v>
      </c>
    </row>
    <row r="24" spans="2:4" ht="15.75" x14ac:dyDescent="0.25">
      <c r="B24" s="32" t="s">
        <v>163</v>
      </c>
      <c r="C24" s="33">
        <f>C21*C10+C22*C15</f>
        <v>0.13789625369489783</v>
      </c>
      <c r="D24" s="34" t="s">
        <v>164</v>
      </c>
    </row>
  </sheetData>
  <mergeCells count="4">
    <mergeCell ref="B12:D12"/>
    <mergeCell ref="B17:D17"/>
    <mergeCell ref="B6:D6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7"/>
  <sheetViews>
    <sheetView showGridLines="0" workbookViewId="0">
      <selection activeCell="D15" sqref="D15"/>
    </sheetView>
  </sheetViews>
  <sheetFormatPr defaultRowHeight="15" x14ac:dyDescent="0.25"/>
  <cols>
    <col min="1" max="1" width="3" customWidth="1"/>
    <col min="2" max="2" width="42" customWidth="1"/>
    <col min="3" max="7" width="14" customWidth="1"/>
  </cols>
  <sheetData>
    <row r="2" spans="2:7" ht="26.1" customHeight="1" x14ac:dyDescent="0.25">
      <c r="B2" s="56" t="s">
        <v>165</v>
      </c>
      <c r="C2" s="54"/>
      <c r="D2" s="54"/>
      <c r="E2" s="54"/>
      <c r="F2" s="54"/>
      <c r="G2" s="54"/>
    </row>
    <row r="4" spans="2:7" x14ac:dyDescent="0.25">
      <c r="B4" s="3" t="s">
        <v>166</v>
      </c>
      <c r="C4" s="10">
        <v>2026</v>
      </c>
      <c r="D4" s="10">
        <v>2027</v>
      </c>
      <c r="E4" s="10">
        <v>2028</v>
      </c>
      <c r="F4" s="10">
        <v>2029</v>
      </c>
      <c r="G4" s="10">
        <v>2030</v>
      </c>
    </row>
    <row r="6" spans="2:7" x14ac:dyDescent="0.25">
      <c r="B6" s="55" t="s">
        <v>167</v>
      </c>
      <c r="C6" s="54"/>
      <c r="D6" s="54"/>
      <c r="E6" s="54"/>
      <c r="F6" s="54"/>
      <c r="G6" s="54"/>
    </row>
    <row r="7" spans="2:7" x14ac:dyDescent="0.25">
      <c r="B7" s="13" t="s">
        <v>39</v>
      </c>
      <c r="C7" s="35">
        <f>Historicals!G8*(1+Assumptions!D8)</f>
        <v>45723.48</v>
      </c>
      <c r="D7" s="35">
        <f>C7*(1+Assumptions!E8)</f>
        <v>56697.1152</v>
      </c>
      <c r="E7" s="35">
        <f>D7*(1+Assumptions!F8)</f>
        <v>66902.595935999998</v>
      </c>
      <c r="F7" s="35">
        <f>E7*(1+Assumptions!G8)</f>
        <v>76268.959367040006</v>
      </c>
      <c r="G7" s="35">
        <f>F7*(1+Assumptions!H8)</f>
        <v>84658.544897414409</v>
      </c>
    </row>
    <row r="8" spans="2:7" x14ac:dyDescent="0.25">
      <c r="B8" s="15" t="s">
        <v>40</v>
      </c>
      <c r="C8" s="17">
        <f>C7/Historicals!G8-1</f>
        <v>0.32000000000000006</v>
      </c>
      <c r="D8" s="17">
        <f>D7/C7-1</f>
        <v>0.24</v>
      </c>
      <c r="E8" s="17">
        <f>E7/D7-1</f>
        <v>0.17999999999999994</v>
      </c>
      <c r="F8" s="17">
        <f>F7/E7-1</f>
        <v>0.14000000000000012</v>
      </c>
      <c r="G8" s="17">
        <f>G7/F7-1</f>
        <v>0.1100000000000001</v>
      </c>
    </row>
    <row r="9" spans="2:7" x14ac:dyDescent="0.25">
      <c r="B9" s="13" t="s">
        <v>44</v>
      </c>
      <c r="C9" s="35">
        <f>C7*Assumptions!D13</f>
        <v>23318.974800000004</v>
      </c>
      <c r="D9" s="35">
        <f>D7*Assumptions!E13</f>
        <v>29482.499904</v>
      </c>
      <c r="E9" s="35">
        <f>E7*Assumptions!F13</f>
        <v>35123.862866399999</v>
      </c>
      <c r="F9" s="35">
        <f>F7*Assumptions!G13</f>
        <v>40422.548464531203</v>
      </c>
      <c r="G9" s="35">
        <f>G7*Assumptions!H13</f>
        <v>44869.028795629638</v>
      </c>
    </row>
    <row r="10" spans="2:7" x14ac:dyDescent="0.25">
      <c r="B10" s="15" t="s">
        <v>45</v>
      </c>
      <c r="C10" s="17">
        <f>C9/C7</f>
        <v>0.51</v>
      </c>
      <c r="D10" s="17">
        <f>D9/D7</f>
        <v>0.52</v>
      </c>
      <c r="E10" s="17">
        <f>E9/E7</f>
        <v>0.52500000000000002</v>
      </c>
      <c r="F10" s="17">
        <f>F9/F7</f>
        <v>0.53</v>
      </c>
      <c r="G10" s="17">
        <f>G9/G7</f>
        <v>0.53</v>
      </c>
    </row>
    <row r="11" spans="2:7" x14ac:dyDescent="0.25">
      <c r="B11" s="15" t="s">
        <v>47</v>
      </c>
      <c r="C11" s="14">
        <f>C7*Assumptions!D15</f>
        <v>10059.1656</v>
      </c>
      <c r="D11" s="14">
        <f>D7*Assumptions!E15</f>
        <v>11339.423040000001</v>
      </c>
      <c r="E11" s="14">
        <f>E7*Assumptions!F15</f>
        <v>12711.493227839999</v>
      </c>
      <c r="F11" s="14">
        <f>F7*Assumptions!G15</f>
        <v>13728.4126860672</v>
      </c>
      <c r="G11" s="14">
        <f>G7*Assumptions!H15</f>
        <v>14391.952632560451</v>
      </c>
    </row>
    <row r="12" spans="2:7" x14ac:dyDescent="0.25">
      <c r="B12" s="15" t="s">
        <v>49</v>
      </c>
      <c r="C12" s="14">
        <f>C7*Assumptions!D17</f>
        <v>5029.5828000000001</v>
      </c>
      <c r="D12" s="14">
        <f>D7*Assumptions!E17</f>
        <v>5669.7115200000007</v>
      </c>
      <c r="E12" s="14">
        <f>E7*Assumptions!F17</f>
        <v>6355.7466139199996</v>
      </c>
      <c r="F12" s="14">
        <f>F7*Assumptions!G17</f>
        <v>6864.2063430336002</v>
      </c>
      <c r="G12" s="14">
        <f>G7*Assumptions!H17</f>
        <v>7195.9763162802255</v>
      </c>
    </row>
    <row r="13" spans="2:7" x14ac:dyDescent="0.25">
      <c r="B13" s="15" t="s">
        <v>168</v>
      </c>
      <c r="C13" s="14">
        <f>Assumptions!D19</f>
        <v>2153</v>
      </c>
      <c r="D13" s="14">
        <f>Assumptions!E19</f>
        <v>2036</v>
      </c>
      <c r="E13" s="14">
        <f>Assumptions!F19</f>
        <v>1923</v>
      </c>
      <c r="F13" s="14">
        <f>Assumptions!G19</f>
        <v>1691</v>
      </c>
      <c r="G13" s="14">
        <f>Assumptions!H19</f>
        <v>1454</v>
      </c>
    </row>
    <row r="14" spans="2:7" x14ac:dyDescent="0.25">
      <c r="B14" s="18" t="s">
        <v>169</v>
      </c>
      <c r="C14" s="19">
        <f>C9-C11-C12-C13</f>
        <v>6077.2264000000032</v>
      </c>
      <c r="D14" s="19">
        <f>D9-D11-D12-D13</f>
        <v>10437.365343999998</v>
      </c>
      <c r="E14" s="19">
        <f>E9-E11-E12-E13</f>
        <v>14133.623024639997</v>
      </c>
      <c r="F14" s="19">
        <f>F9-F11-F12-F13</f>
        <v>18138.9294354304</v>
      </c>
      <c r="G14" s="19">
        <f>G9-G11-G12-G13</f>
        <v>21827.099846788959</v>
      </c>
    </row>
    <row r="15" spans="2:7" x14ac:dyDescent="0.25">
      <c r="B15" s="15" t="s">
        <v>170</v>
      </c>
      <c r="C15" s="17">
        <f>C14/C7</f>
        <v>0.13291259545423934</v>
      </c>
      <c r="D15" s="17">
        <f>D14/D7</f>
        <v>0.18408988371246088</v>
      </c>
      <c r="E15" s="17">
        <f>E14/E7</f>
        <v>0.21125672071320561</v>
      </c>
      <c r="F15" s="17">
        <f>F14/F7</f>
        <v>0.23782846371533456</v>
      </c>
      <c r="G15" s="17">
        <f>G14/G7</f>
        <v>0.25782512412938469</v>
      </c>
    </row>
    <row r="16" spans="2:7" x14ac:dyDescent="0.25">
      <c r="B16" s="15" t="s">
        <v>171</v>
      </c>
      <c r="C16" s="14">
        <f>C14*Assumptions!D23</f>
        <v>911.5839600000005</v>
      </c>
      <c r="D16" s="14">
        <f>D14*Assumptions!E23</f>
        <v>1565.6048015999997</v>
      </c>
      <c r="E16" s="14">
        <f>E14*Assumptions!F23</f>
        <v>2120.0434536959997</v>
      </c>
      <c r="F16" s="14">
        <f>F14*Assumptions!G23</f>
        <v>2720.83941531456</v>
      </c>
      <c r="G16" s="14">
        <f>G14*Assumptions!H23</f>
        <v>3274.0649770183436</v>
      </c>
    </row>
    <row r="17" spans="2:7" x14ac:dyDescent="0.25">
      <c r="B17" s="18" t="s">
        <v>172</v>
      </c>
      <c r="C17" s="19">
        <f>C14-C16</f>
        <v>5165.6424400000024</v>
      </c>
      <c r="D17" s="19">
        <f>D14-D16</f>
        <v>8871.7605423999976</v>
      </c>
      <c r="E17" s="19">
        <f>E14-E16</f>
        <v>12013.579570943997</v>
      </c>
      <c r="F17" s="19">
        <f>F14-F16</f>
        <v>15418.09002011584</v>
      </c>
      <c r="G17" s="19">
        <f>G14-G16</f>
        <v>18553.034869770614</v>
      </c>
    </row>
    <row r="19" spans="2:7" x14ac:dyDescent="0.25">
      <c r="B19" s="55" t="s">
        <v>173</v>
      </c>
      <c r="C19" s="54"/>
      <c r="D19" s="54"/>
      <c r="E19" s="54"/>
      <c r="F19" s="54"/>
      <c r="G19" s="54"/>
    </row>
    <row r="20" spans="2:7" x14ac:dyDescent="0.25">
      <c r="B20" s="15" t="s">
        <v>174</v>
      </c>
      <c r="C20" s="14">
        <f>C13</f>
        <v>2153</v>
      </c>
      <c r="D20" s="14">
        <f>D13</f>
        <v>2036</v>
      </c>
      <c r="E20" s="14">
        <f>E13</f>
        <v>1923</v>
      </c>
      <c r="F20" s="14">
        <f>F13</f>
        <v>1691</v>
      </c>
      <c r="G20" s="14">
        <f>G13</f>
        <v>1454</v>
      </c>
    </row>
    <row r="21" spans="2:7" x14ac:dyDescent="0.25">
      <c r="B21" s="15" t="s">
        <v>175</v>
      </c>
      <c r="C21" s="14">
        <f>C7*Assumptions!D27</f>
        <v>1143.0870000000002</v>
      </c>
      <c r="D21" s="14">
        <f>D7*Assumptions!E27</f>
        <v>1417.4278800000002</v>
      </c>
      <c r="E21" s="14">
        <f>E7*Assumptions!F27</f>
        <v>1672.5648983999999</v>
      </c>
      <c r="F21" s="14">
        <f>F7*Assumptions!G27</f>
        <v>1906.7239841760002</v>
      </c>
      <c r="G21" s="14">
        <f>G7*Assumptions!H27</f>
        <v>2116.4636224353603</v>
      </c>
    </row>
    <row r="22" spans="2:7" x14ac:dyDescent="0.25">
      <c r="B22" s="15" t="s">
        <v>176</v>
      </c>
      <c r="C22" s="14">
        <f>C7*Assumptions!D28</f>
        <v>2286.1740000000004</v>
      </c>
      <c r="D22" s="14">
        <f>D7*Assumptions!E28</f>
        <v>2721.4615296000002</v>
      </c>
      <c r="E22" s="14">
        <f>E7*Assumptions!F28</f>
        <v>3010.6168171199997</v>
      </c>
      <c r="F22" s="14">
        <f>F7*Assumptions!G28</f>
        <v>3279.5652527827201</v>
      </c>
      <c r="G22" s="14">
        <f>G7*Assumptions!H28</f>
        <v>3386.3417958965765</v>
      </c>
    </row>
    <row r="23" spans="2:7" x14ac:dyDescent="0.25">
      <c r="B23" s="15" t="s">
        <v>177</v>
      </c>
      <c r="C23" s="14">
        <f>C7*Assumptions!D25</f>
        <v>1371.7044000000001</v>
      </c>
      <c r="D23" s="14">
        <f>D7*Assumptions!E25</f>
        <v>1700.913456</v>
      </c>
      <c r="E23" s="14">
        <f>E7*Assumptions!F25</f>
        <v>1873.2726862079999</v>
      </c>
      <c r="F23" s="14">
        <f>F7*Assumptions!G25</f>
        <v>1906.7239841760002</v>
      </c>
      <c r="G23" s="14">
        <f>G7*Assumptions!H25</f>
        <v>2116.4636224353603</v>
      </c>
    </row>
    <row r="24" spans="2:7" x14ac:dyDescent="0.25">
      <c r="B24" s="15" t="s">
        <v>178</v>
      </c>
      <c r="C24" s="14">
        <f>(C7-Historicals!G8)*Assumptions!D30</f>
        <v>1662.6720000000005</v>
      </c>
      <c r="D24" s="14">
        <f>(D7-C7)*Assumptions!E30</f>
        <v>1316.8362239999997</v>
      </c>
      <c r="E24" s="14">
        <f>(E7-D7)*Assumptions!F30</f>
        <v>1020.5480735999998</v>
      </c>
      <c r="F24" s="14">
        <f>(F7-E7)*Assumptions!G30</f>
        <v>749.30907448320067</v>
      </c>
      <c r="G24" s="14">
        <f>(G7-F7)*Assumptions!H30</f>
        <v>671.16684242995223</v>
      </c>
    </row>
    <row r="25" spans="2:7" x14ac:dyDescent="0.25">
      <c r="B25" s="32" t="s">
        <v>179</v>
      </c>
      <c r="C25" s="36">
        <f>C17+C20+C21-C22-C23-C24</f>
        <v>3141.1790400000009</v>
      </c>
      <c r="D25" s="36">
        <f>D17+D20+D21-D22-D23-D24</f>
        <v>6585.9772127999977</v>
      </c>
      <c r="E25" s="36">
        <f>E17+E20+E21-E22-E23-E24</f>
        <v>9704.7068924159994</v>
      </c>
      <c r="F25" s="36">
        <f>F17+F20+F21-F22-F23-F24</f>
        <v>13080.215692849917</v>
      </c>
      <c r="G25" s="36">
        <f>G17+G20+G21-G22-G23-G24</f>
        <v>15949.526231444086</v>
      </c>
    </row>
    <row r="26" spans="2:7" x14ac:dyDescent="0.25">
      <c r="B26" s="15" t="s">
        <v>70</v>
      </c>
      <c r="C26" s="17">
        <f>C25/C7</f>
        <v>6.869947431822776E-2</v>
      </c>
      <c r="D26" s="17">
        <f>D25/D7</f>
        <v>0.11616071099151792</v>
      </c>
      <c r="E26" s="17">
        <f>E25/E7</f>
        <v>0.14505725460488356</v>
      </c>
      <c r="F26" s="17">
        <f>F25/F7</f>
        <v>0.17150116903919099</v>
      </c>
      <c r="G26" s="17">
        <f>G25/G7</f>
        <v>0.18839830345266431</v>
      </c>
    </row>
    <row r="27" spans="2:7" x14ac:dyDescent="0.25">
      <c r="B27" s="15" t="s">
        <v>180</v>
      </c>
      <c r="C27" s="14">
        <f>C25</f>
        <v>3141.1790400000009</v>
      </c>
      <c r="D27" s="14">
        <f>C27+D25</f>
        <v>9727.1562527999995</v>
      </c>
      <c r="E27" s="14">
        <f>D27+E25</f>
        <v>19431.863145215997</v>
      </c>
      <c r="F27" s="14">
        <f>E27+F25</f>
        <v>32512.078838065914</v>
      </c>
      <c r="G27" s="14">
        <f>F27+G25</f>
        <v>48461.605069509998</v>
      </c>
    </row>
  </sheetData>
  <mergeCells count="3">
    <mergeCell ref="B2:G2"/>
    <mergeCell ref="B19:G19"/>
    <mergeCell ref="B6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46"/>
  <sheetViews>
    <sheetView showGridLines="0" topLeftCell="A11" workbookViewId="0">
      <selection activeCell="C39" sqref="C39"/>
    </sheetView>
  </sheetViews>
  <sheetFormatPr defaultRowHeight="15" x14ac:dyDescent="0.25"/>
  <cols>
    <col min="1" max="1" width="3" customWidth="1"/>
    <col min="2" max="2" width="38" customWidth="1"/>
    <col min="3" max="4" width="18" customWidth="1"/>
    <col min="5" max="5" width="45" customWidth="1"/>
  </cols>
  <sheetData>
    <row r="2" spans="2:5" ht="26.1" customHeight="1" x14ac:dyDescent="0.25">
      <c r="B2" s="56" t="s">
        <v>181</v>
      </c>
      <c r="C2" s="54"/>
      <c r="D2" s="54"/>
      <c r="E2" s="54"/>
    </row>
    <row r="4" spans="2:5" x14ac:dyDescent="0.25">
      <c r="B4" s="12" t="s">
        <v>182</v>
      </c>
      <c r="C4" s="10" t="s">
        <v>183</v>
      </c>
      <c r="D4" s="10" t="s">
        <v>184</v>
      </c>
      <c r="E4" s="10" t="s">
        <v>185</v>
      </c>
    </row>
    <row r="5" spans="2:5" ht="24" x14ac:dyDescent="0.25">
      <c r="B5" s="13" t="s">
        <v>24</v>
      </c>
      <c r="C5" s="37">
        <f>WACC!C24</f>
        <v>0.13789625369489783</v>
      </c>
      <c r="D5" s="9" t="s">
        <v>186</v>
      </c>
    </row>
    <row r="7" spans="2:5" x14ac:dyDescent="0.25">
      <c r="B7" s="13" t="s">
        <v>187</v>
      </c>
      <c r="C7" s="29">
        <f>Projections!C25</f>
        <v>3141.1790400000009</v>
      </c>
      <c r="D7" s="38">
        <f>1/(1+$C$5)^1</f>
        <v>0.87881473970308754</v>
      </c>
      <c r="E7" s="39">
        <f>C7*D7</f>
        <v>2760.514440398395</v>
      </c>
    </row>
    <row r="8" spans="2:5" x14ac:dyDescent="0.25">
      <c r="B8" s="13" t="s">
        <v>188</v>
      </c>
      <c r="C8" s="29">
        <f>Projections!D25</f>
        <v>6585.9772127999977</v>
      </c>
      <c r="D8" s="38">
        <f>1/(1+$C$5)^2</f>
        <v>0.77231534671940538</v>
      </c>
      <c r="E8" s="39">
        <f>C8*D8</f>
        <v>5086.4512745897337</v>
      </c>
    </row>
    <row r="9" spans="2:5" x14ac:dyDescent="0.25">
      <c r="B9" s="13" t="s">
        <v>189</v>
      </c>
      <c r="C9" s="29">
        <f>Projections!E25</f>
        <v>9704.7068924159994</v>
      </c>
      <c r="D9" s="38">
        <f>1/(1+$C$5)^3</f>
        <v>0.67872211039591412</v>
      </c>
      <c r="E9" s="39">
        <f>C9*D9</f>
        <v>6586.7991427943607</v>
      </c>
    </row>
    <row r="10" spans="2:5" x14ac:dyDescent="0.25">
      <c r="B10" s="13" t="s">
        <v>190</v>
      </c>
      <c r="C10" s="29">
        <f>Projections!F25</f>
        <v>13080.215692849917</v>
      </c>
      <c r="D10" s="38">
        <f>1/(1+$C$5)^4</f>
        <v>0.59647099477831544</v>
      </c>
      <c r="E10" s="39">
        <f>C10*D10</f>
        <v>7801.9692662291227</v>
      </c>
    </row>
    <row r="11" spans="2:5" x14ac:dyDescent="0.25">
      <c r="B11" s="13" t="s">
        <v>191</v>
      </c>
      <c r="C11" s="29">
        <f>Projections!G25</f>
        <v>15949.526231444086</v>
      </c>
      <c r="D11" s="38">
        <f>1/(1+$C$5)^5</f>
        <v>0.52418750201654685</v>
      </c>
      <c r="E11" s="39">
        <f>C11*D11</f>
        <v>8360.5423136080644</v>
      </c>
    </row>
    <row r="13" spans="2:5" x14ac:dyDescent="0.25">
      <c r="B13" s="18" t="s">
        <v>192</v>
      </c>
      <c r="C13" s="40"/>
      <c r="D13" s="40"/>
      <c r="E13" s="31">
        <f>SUM(E7:E11)</f>
        <v>30596.276437619676</v>
      </c>
    </row>
    <row r="15" spans="2:5" x14ac:dyDescent="0.25">
      <c r="B15" s="55" t="s">
        <v>134</v>
      </c>
      <c r="C15" s="54"/>
      <c r="D15" s="54"/>
      <c r="E15" s="54"/>
    </row>
    <row r="16" spans="2:5" x14ac:dyDescent="0.25">
      <c r="B16" s="15" t="s">
        <v>193</v>
      </c>
      <c r="C16" s="29">
        <f>C11</f>
        <v>15949.526231444086</v>
      </c>
    </row>
    <row r="17" spans="2:5" x14ac:dyDescent="0.25">
      <c r="B17" s="15" t="s">
        <v>194</v>
      </c>
      <c r="C17" s="28">
        <f>Assumptions!C45</f>
        <v>0.03</v>
      </c>
    </row>
    <row r="18" spans="2:5" x14ac:dyDescent="0.25">
      <c r="B18" s="13" t="s">
        <v>195</v>
      </c>
      <c r="C18" s="39">
        <f>C16*(1+C17)/(C5-C17)</f>
        <v>152257.48305257657</v>
      </c>
      <c r="E18" s="9" t="s">
        <v>196</v>
      </c>
    </row>
    <row r="19" spans="2:5" x14ac:dyDescent="0.25">
      <c r="B19" s="15" t="s">
        <v>197</v>
      </c>
      <c r="C19" s="38">
        <f>D11</f>
        <v>0.52418750201654685</v>
      </c>
    </row>
    <row r="20" spans="2:5" x14ac:dyDescent="0.25">
      <c r="B20" s="18" t="s">
        <v>198</v>
      </c>
      <c r="C20" s="31">
        <f>C18*C19</f>
        <v>79811.469704656833</v>
      </c>
    </row>
    <row r="22" spans="2:5" x14ac:dyDescent="0.25">
      <c r="B22" s="55" t="s">
        <v>199</v>
      </c>
      <c r="C22" s="54"/>
      <c r="D22" s="54"/>
      <c r="E22" s="54"/>
    </row>
    <row r="23" spans="2:5" x14ac:dyDescent="0.25">
      <c r="B23" s="15" t="s">
        <v>200</v>
      </c>
      <c r="C23" s="29">
        <f>E13</f>
        <v>30596.276437619676</v>
      </c>
    </row>
    <row r="24" spans="2:5" x14ac:dyDescent="0.25">
      <c r="B24" s="15" t="s">
        <v>198</v>
      </c>
      <c r="C24" s="29">
        <f>C20</f>
        <v>79811.469704656833</v>
      </c>
    </row>
    <row r="25" spans="2:5" x14ac:dyDescent="0.25">
      <c r="B25" s="15" t="s">
        <v>201</v>
      </c>
      <c r="C25" s="41">
        <v>0</v>
      </c>
      <c r="E25" s="9" t="s">
        <v>202</v>
      </c>
    </row>
    <row r="26" spans="2:5" ht="15.75" x14ac:dyDescent="0.25">
      <c r="B26" s="42" t="s">
        <v>203</v>
      </c>
      <c r="C26" s="43">
        <f>C23+C24+C25</f>
        <v>110407.7461422765</v>
      </c>
    </row>
    <row r="28" spans="2:5" x14ac:dyDescent="0.25">
      <c r="B28" s="15" t="s">
        <v>204</v>
      </c>
      <c r="C28" s="29">
        <f>Assumptions!C39</f>
        <v>3250</v>
      </c>
      <c r="E28" s="9" t="s">
        <v>205</v>
      </c>
    </row>
    <row r="29" spans="2:5" x14ac:dyDescent="0.25">
      <c r="B29" s="15" t="s">
        <v>206</v>
      </c>
      <c r="C29" s="29">
        <f>Assumptions!C40</f>
        <v>10552</v>
      </c>
      <c r="E29" s="9" t="s">
        <v>205</v>
      </c>
    </row>
    <row r="30" spans="2:5" x14ac:dyDescent="0.25">
      <c r="B30" s="13" t="s">
        <v>207</v>
      </c>
      <c r="C30" s="44">
        <f>C26</f>
        <v>110407.7461422765</v>
      </c>
    </row>
    <row r="31" spans="2:5" x14ac:dyDescent="0.25">
      <c r="B31" s="15" t="s">
        <v>208</v>
      </c>
      <c r="C31" s="29">
        <f>C28-C29</f>
        <v>-7302</v>
      </c>
    </row>
    <row r="33" spans="2:5" ht="15.75" x14ac:dyDescent="0.25">
      <c r="B33" s="42" t="s">
        <v>209</v>
      </c>
      <c r="C33" s="43">
        <f>C26-C28+C29</f>
        <v>117709.7461422765</v>
      </c>
    </row>
    <row r="35" spans="2:5" x14ac:dyDescent="0.25">
      <c r="B35" s="15" t="s">
        <v>210</v>
      </c>
      <c r="C35" s="29">
        <f>Assumptions!C41</f>
        <v>1636</v>
      </c>
      <c r="E35" s="9" t="s">
        <v>211</v>
      </c>
    </row>
    <row r="36" spans="2:5" ht="18.75" x14ac:dyDescent="0.25">
      <c r="B36" s="45" t="s">
        <v>212</v>
      </c>
      <c r="C36" s="46">
        <f>C33/C35</f>
        <v>71.949722580853603</v>
      </c>
    </row>
    <row r="38" spans="2:5" x14ac:dyDescent="0.25">
      <c r="B38" s="15" t="s">
        <v>213</v>
      </c>
      <c r="C38" s="47">
        <v>236.73</v>
      </c>
    </row>
    <row r="39" spans="2:5" x14ac:dyDescent="0.25">
      <c r="B39" s="13" t="s">
        <v>214</v>
      </c>
      <c r="C39" s="48">
        <f>C36/C38-1</f>
        <v>-0.69606842148923409</v>
      </c>
    </row>
    <row r="41" spans="2:5" x14ac:dyDescent="0.25">
      <c r="B41" s="3" t="s">
        <v>215</v>
      </c>
    </row>
    <row r="42" spans="2:5" ht="24" x14ac:dyDescent="0.25">
      <c r="B42" s="9" t="s">
        <v>216</v>
      </c>
    </row>
    <row r="43" spans="2:5" ht="24" x14ac:dyDescent="0.25">
      <c r="B43" s="9" t="s">
        <v>217</v>
      </c>
    </row>
    <row r="44" spans="2:5" ht="24" x14ac:dyDescent="0.25">
      <c r="B44" s="9" t="s">
        <v>218</v>
      </c>
    </row>
    <row r="45" spans="2:5" ht="24" x14ac:dyDescent="0.25">
      <c r="B45" s="9" t="s">
        <v>219</v>
      </c>
    </row>
    <row r="46" spans="2:5" ht="24" x14ac:dyDescent="0.25">
      <c r="B46" s="9" t="s">
        <v>220</v>
      </c>
    </row>
  </sheetData>
  <mergeCells count="3">
    <mergeCell ref="B15:E15"/>
    <mergeCell ref="B22:E2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19"/>
  <sheetViews>
    <sheetView showGridLines="0" workbookViewId="0">
      <selection activeCell="E14" sqref="E14"/>
    </sheetView>
  </sheetViews>
  <sheetFormatPr defaultRowHeight="15" x14ac:dyDescent="0.25"/>
  <cols>
    <col min="1" max="1" width="3" customWidth="1"/>
    <col min="2" max="2" width="28" customWidth="1"/>
    <col min="3" max="9" width="13" customWidth="1"/>
  </cols>
  <sheetData>
    <row r="2" spans="2:9" ht="26.1" customHeight="1" x14ac:dyDescent="0.25">
      <c r="B2" s="56" t="s">
        <v>221</v>
      </c>
      <c r="C2" s="54"/>
      <c r="D2" s="54"/>
      <c r="E2" s="54"/>
      <c r="F2" s="54"/>
      <c r="G2" s="54"/>
      <c r="H2" s="54"/>
      <c r="I2" s="54"/>
    </row>
    <row r="4" spans="2:9" ht="36" x14ac:dyDescent="0.25">
      <c r="B4" s="9" t="s">
        <v>222</v>
      </c>
    </row>
    <row r="5" spans="2:9" ht="24" x14ac:dyDescent="0.25">
      <c r="B5" s="9" t="s">
        <v>223</v>
      </c>
    </row>
    <row r="7" spans="2:9" x14ac:dyDescent="0.25">
      <c r="B7" s="12" t="s">
        <v>224</v>
      </c>
      <c r="C7" s="49">
        <v>0.02</v>
      </c>
      <c r="D7" s="49">
        <v>2.5000000000000001E-2</v>
      </c>
      <c r="E7" s="49">
        <v>0.03</v>
      </c>
      <c r="F7" s="49">
        <v>3.5000000000000003E-2</v>
      </c>
      <c r="G7" s="49">
        <v>0.04</v>
      </c>
    </row>
    <row r="8" spans="2:9" x14ac:dyDescent="0.25">
      <c r="B8" s="50">
        <v>0.11</v>
      </c>
      <c r="C8" s="51">
        <f>(((Projections!C25/(1+$B8)^1+Projections!D25/(1+$B8)^2+Projections!E25/(1+$B8)^3+Projections!F25/(1+$B8)^4+Projections!G25/(1+$B8)^5)+((Projections!G25*(1+C$7)/($B8-C$7))/(1+$B8)^5))-Assumptions!C39+Assumptions!C40)/Assumptions!C41</f>
        <v>90.420451468856612</v>
      </c>
      <c r="D8" s="51">
        <f>(((Projections!C25/(1+$B8)^1+Projections!D25/(1+$B8)^2+Projections!E25/(1+$B8)^3+Projections!F25/(1+$B8)^4+Projections!G25/(1+$B8)^5)+((Projections!G25*(1+D$7)/($B8-D$7))/(1+$B8)^5))-Assumptions!C39+Assumptions!C40)/Assumptions!C41</f>
        <v>94.61785904336098</v>
      </c>
      <c r="E8" s="51">
        <f>(((Projections!C25/(1+$B8)^1+Projections!D25/(1+$B8)^2+Projections!E25/(1+$B8)^3+Projections!F25/(1+$B8)^4+Projections!G25/(1+$B8)^5)+((Projections!G25*(1+E$7)/($B8-E$7))/(1+$B8)^5))-Assumptions!C39+Assumptions!C40)/Assumptions!C41</f>
        <v>99.339942564678381</v>
      </c>
      <c r="F8" s="51">
        <f>(((Projections!C25/(1+$B8)^1+Projections!D25/(1+$B8)^2+Projections!E25/(1+$B8)^3+Projections!F25/(1+$B8)^4+Projections!G25/(1+$B8)^5)+((Projections!G25*(1+F$7)/($B8-F$7))/(1+$B8)^5))-Assumptions!C39+Assumptions!C40)/Assumptions!C41</f>
        <v>104.69163722217145</v>
      </c>
      <c r="G8" s="51">
        <f>(((Projections!C25/(1+$B8)^1+Projections!D25/(1+$B8)^2+Projections!E25/(1+$B8)^3+Projections!F25/(1+$B8)^4+Projections!G25/(1+$B8)^5)+((Projections!G25*(1+G$7)/($B8-G$7))/(1+$B8)^5))-Assumptions!C39+Assumptions!C40)/Assumptions!C41</f>
        <v>110.80785968787784</v>
      </c>
    </row>
    <row r="9" spans="2:9" x14ac:dyDescent="0.25">
      <c r="B9" s="50">
        <v>0.12</v>
      </c>
      <c r="C9" s="51">
        <f>(((Projections!C25/(1+$B9)^1+Projections!D25/(1+$B9)^2+Projections!E25/(1+$B9)^3+Projections!F25/(1+$B9)^4+Projections!G25/(1+$B9)^5)+((Projections!G25*(1+C$7)/($B9-C$7))/(1+$B9)^5))-Assumptions!C39+Assumptions!C40)/Assumptions!C41</f>
        <v>80.647542600501737</v>
      </c>
      <c r="D9" s="51">
        <f>(((Projections!C25/(1+$B9)^1+Projections!D25/(1+$B9)^2+Projections!E25/(1+$B9)^3+Projections!F25/(1+$B9)^4+Projections!G25/(1+$B9)^5)+((Projections!G25*(1+D$7)/($B9-D$7))/(1+$B9)^5))-Assumptions!C39+Assumptions!C40)/Assumptions!C41</f>
        <v>83.908452477632991</v>
      </c>
      <c r="E9" s="51">
        <f>(((Projections!C25/(1+$B9)^1+Projections!D25/(1+$B9)^2+Projections!E25/(1+$B9)^3+Projections!F25/(1+$B9)^4+Projections!G25/(1+$B9)^5)+((Projections!G25*(1+E$7)/($B9-E$7))/(1+$B9)^5))-Assumptions!C39+Assumptions!C40)/Assumptions!C41</f>
        <v>87.531685674445512</v>
      </c>
      <c r="F9" s="51">
        <f>(((Projections!C25/(1+$B9)^1+Projections!D25/(1+$B9)^2+Projections!E25/(1+$B9)^3+Projections!F25/(1+$B9)^4+Projections!G25/(1+$B9)^5)+((Projections!G25*(1+F$7)/($B9-F$7))/(1+$B9)^5))-Assumptions!C39+Assumptions!C40)/Assumptions!C41</f>
        <v>91.581181600294769</v>
      </c>
      <c r="G9" s="51">
        <f>(((Projections!C25/(1+$B9)^1+Projections!D25/(1+$B9)^2+Projections!E25/(1+$B9)^3+Projections!F25/(1+$B9)^4+Projections!G25/(1+$B9)^5)+((Projections!G25*(1+G$7)/($B9-G$7))/(1+$B9)^5))-Assumptions!C39+Assumptions!C40)/Assumptions!C41</f>
        <v>96.136864516875207</v>
      </c>
    </row>
    <row r="10" spans="2:9" x14ac:dyDescent="0.25">
      <c r="B10" s="50">
        <v>0.13</v>
      </c>
      <c r="C10" s="51">
        <f>(((Projections!C25/(1+$B10)^1+Projections!D25/(1+$B10)^2+Projections!E25/(1+$B10)^3+Projections!F25/(1+$B10)^4+Projections!G25/(1+$B10)^5)+((Projections!G25*(1+C$7)/($B10-C$7))/(1+$B10)^5))-Assumptions!C39+Assumptions!C40)/Assumptions!C41</f>
        <v>72.68725828980125</v>
      </c>
      <c r="D10" s="51">
        <f>(((Projections!C25/(1+$B10)^1+Projections!D25/(1+$B10)^2+Projections!E25/(1+$B10)^3+Projections!F25/(1+$B10)^4+Projections!G25/(1+$B10)^5)+((Projections!G25*(1+D$7)/($B10-D$7))/(1+$B10)^5))-Assumptions!C39+Assumptions!C40)/Assumptions!C41</f>
        <v>75.275702053854133</v>
      </c>
      <c r="E10" s="51">
        <f>(((Projections!C25/(1+$B10)^1+Projections!D25/(1+$B10)^2+Projections!E25/(1+$B10)^3+Projections!F25/(1+$B10)^4+Projections!G25/(1+$B10)^5)+((Projections!G25*(1+E$7)/($B10-E$7))/(1+$B10)^5))-Assumptions!C39+Assumptions!C40)/Assumptions!C41</f>
        <v>78.122990194312322</v>
      </c>
      <c r="F10" s="51">
        <f>(((Projections!C25/(1+$B10)^1+Projections!D25/(1+$B10)^2+Projections!E25/(1+$B10)^3+Projections!F25/(1+$B10)^4+Projections!G25/(1+$B10)^5)+((Projections!G25*(1+F$7)/($B10-F$7))/(1+$B10)^5))-Assumptions!C39+Assumptions!C40)/Assumptions!C41</f>
        <v>81.269992875871353</v>
      </c>
      <c r="G10" s="51">
        <f>(((Projections!C25/(1+$B10)^1+Projections!D25/(1+$B10)^2+Projections!E25/(1+$B10)^3+Projections!F25/(1+$B10)^4+Projections!G25/(1+$B10)^5)+((Projections!G25*(1+G$7)/($B10-G$7))/(1+$B10)^5))-Assumptions!C39+Assumptions!C40)/Assumptions!C41</f>
        <v>84.766662522048094</v>
      </c>
    </row>
    <row r="11" spans="2:9" x14ac:dyDescent="0.25">
      <c r="B11" s="50">
        <v>0.14000000000000001</v>
      </c>
      <c r="C11" s="51">
        <f>(((Projections!C25/(1+$B11)^1+Projections!D25/(1+$B11)^2+Projections!E25/(1+$B11)^3+Projections!F25/(1+$B11)^4+Projections!G25/(1+$B11)^5)+((Projections!G25*(1+C$7)/($B11-C$7))/(1+$B11)^5))-Assumptions!C39+Assumptions!C40)/Assumptions!C41</f>
        <v>66.084996070872222</v>
      </c>
      <c r="D11" s="51">
        <f>(((Projections!C25/(1+$B11)^1+Projections!D25/(1+$B11)^2+Projections!E25/(1+$B11)^3+Projections!F25/(1+$B11)^4+Projections!G25/(1+$B11)^5)+((Projections!G25*(1+D$7)/($B11-D$7))/(1+$B11)^5))-Assumptions!C39+Assumptions!C40)/Assumptions!C41</f>
        <v>68.176390758125606</v>
      </c>
      <c r="E11" s="51">
        <f>(((Projections!C25/(1+$B11)^1+Projections!D25/(1+$B11)^2+Projections!E25/(1+$B11)^3+Projections!F25/(1+$B11)^4+Projections!G25/(1+$B11)^5)+((Projections!G25*(1+E$7)/($B11-E$7))/(1+$B11)^5))-Assumptions!C39+Assumptions!C40)/Assumptions!C41</f>
        <v>70.457912235129328</v>
      </c>
      <c r="F11" s="51">
        <f>(((Projections!C25/(1+$B11)^1+Projections!D25/(1+$B11)^2+Projections!E25/(1+$B11)^3+Projections!F25/(1+$B11)^4+Projections!G25/(1+$B11)^5)+((Projections!G25*(1+F$7)/($B11-F$7))/(1+$B11)^5))-Assumptions!C39+Assumptions!C40)/Assumptions!C41</f>
        <v>72.956721471847672</v>
      </c>
      <c r="G11" s="51">
        <f>(((Projections!C25/(1+$B11)^1+Projections!D25/(1+$B11)^2+Projections!E25/(1+$B11)^3+Projections!F25/(1+$B11)^4+Projections!G25/(1+$B11)^5)+((Projections!G25*(1+G$7)/($B11-G$7))/(1+$B11)^5))-Assumptions!C39+Assumptions!C40)/Assumptions!C41</f>
        <v>75.705411632237869</v>
      </c>
    </row>
    <row r="12" spans="2:9" x14ac:dyDescent="0.25">
      <c r="B12" s="50">
        <v>0.15</v>
      </c>
      <c r="C12" s="51">
        <f>(((Projections!C25/(1+$B12)^1+Projections!D25/(1+$B12)^2+Projections!E25/(1+$B12)^3+Projections!F25/(1+$B12)^4+Projections!G25/(1+$B12)^5)+((Projections!G25*(1+C$7)/($B12-C$7))/(1+$B12)^5))-Assumptions!C39+Assumptions!C40)/Assumptions!C41</f>
        <v>60.526103016747847</v>
      </c>
      <c r="D12" s="51">
        <f>(((Projections!C25/(1+$B12)^1+Projections!D25/(1+$B12)^2+Projections!E25/(1+$B12)^3+Projections!F25/(1+$B12)^4+Projections!G25/(1+$B12)^5)+((Projections!G25*(1+D$7)/($B12-D$7))/(1+$B12)^5))-Assumptions!C39+Assumptions!C40)/Assumptions!C41</f>
        <v>62.241204274693935</v>
      </c>
      <c r="E12" s="51">
        <f>(((Projections!C25/(1+$B12)^1+Projections!D25/(1+$B12)^2+Projections!E25/(1+$B12)^3+Projections!F25/(1+$B12)^4+Projections!G25/(1+$B12)^5)+((Projections!G25*(1+E$7)/($B12-E$7))/(1+$B12)^5))-Assumptions!C39+Assumptions!C40)/Assumptions!C41</f>
        <v>64.099230637468864</v>
      </c>
      <c r="F12" s="51">
        <f>(((Projections!C25/(1+$B12)^1+Projections!D25/(1+$B12)^2+Projections!E25/(1+$B12)^3+Projections!F25/(1+$B12)^4+Projections!G25/(1+$B12)^5)+((Projections!G25*(1+F$7)/($B12-F$7))/(1+$B12)^5))-Assumptions!C39+Assumptions!C40)/Assumptions!C41</f>
        <v>66.118824510050317</v>
      </c>
      <c r="G12" s="51">
        <f>(((Projections!C25/(1+$B12)^1+Projections!D25/(1+$B12)^2+Projections!E25/(1+$B12)^3+Projections!F25/(1+$B12)^4+Projections!G25/(1+$B12)^5)+((Projections!G25*(1+G$7)/($B12-G$7))/(1+$B12)^5))-Assumptions!C39+Assumptions!C40)/Assumptions!C41</f>
        <v>68.322017825593733</v>
      </c>
    </row>
    <row r="13" spans="2:9" x14ac:dyDescent="0.25">
      <c r="B13" s="50">
        <v>0.16</v>
      </c>
      <c r="C13" s="51">
        <f>(((Projections!C25/(1+$B13)^1+Projections!D25/(1+$B13)^2+Projections!E25/(1+$B13)^3+Projections!F25/(1+$B13)^4+Projections!G25/(1+$B13)^5)+((Projections!G25*(1+C$7)/($B13-C$7))/(1+$B13)^5))-Assumptions!C39+Assumptions!C40)/Assumptions!C41</f>
        <v>55.78588956720985</v>
      </c>
      <c r="D13" s="51">
        <f>(((Projections!C25/(1+$B13)^1+Projections!D25/(1+$B13)^2+Projections!E25/(1+$B13)^3+Projections!F25/(1+$B13)^4+Projections!G25/(1+$B13)^5)+((Projections!G25*(1+D$7)/($B13-D$7))/(1+$B13)^5))-Assumptions!C39+Assumptions!C40)/Assumptions!C41</f>
        <v>57.210318318622782</v>
      </c>
      <c r="E13" s="51">
        <f>(((Projections!C25/(1+$B13)^1+Projections!D25/(1+$B13)^2+Projections!E25/(1+$B13)^3+Projections!F25/(1+$B13)^4+Projections!G25/(1+$B13)^5)+((Projections!G25*(1+E$7)/($B13-E$7))/(1+$B13)^5))-Assumptions!C39+Assumptions!C40)/Assumptions!C41</f>
        <v>58.744318512452104</v>
      </c>
      <c r="F13" s="51">
        <f>(((Projections!C25/(1+$B13)^1+Projections!D25/(1+$B13)^2+Projections!E25/(1+$B13)^3+Projections!F25/(1+$B13)^4+Projections!G25/(1+$B13)^5)+((Projections!G25*(1+F$7)/($B13-F$7))/(1+$B13)^5))-Assumptions!C39+Assumptions!C40)/Assumptions!C41</f>
        <v>60.401038721787749</v>
      </c>
      <c r="G13" s="51">
        <f>(((Projections!C25/(1+$B13)^1+Projections!D25/(1+$B13)^2+Projections!E25/(1+$B13)^3+Projections!F25/(1+$B13)^4+Projections!G25/(1+$B13)^5)+((Projections!G25*(1+G$7)/($B13-G$7))/(1+$B13)^5))-Assumptions!C39+Assumptions!C40)/Assumptions!C41</f>
        <v>62.195818948568053</v>
      </c>
    </row>
    <row r="14" spans="2:9" ht="25.5" x14ac:dyDescent="0.25">
      <c r="B14" s="3" t="s">
        <v>225</v>
      </c>
      <c r="C14" s="37">
        <f>WACC!C24</f>
        <v>0.13789625369489783</v>
      </c>
      <c r="D14" s="3" t="s">
        <v>226</v>
      </c>
      <c r="E14" s="48">
        <f>Assumptions!C45</f>
        <v>0.03</v>
      </c>
      <c r="F14" s="3" t="s">
        <v>227</v>
      </c>
      <c r="G14" s="52">
        <f>'DCF Valuation'!C36</f>
        <v>71.949722580853603</v>
      </c>
    </row>
    <row r="16" spans="2:9" x14ac:dyDescent="0.25">
      <c r="B16" s="3" t="s">
        <v>215</v>
      </c>
    </row>
    <row r="17" spans="2:2" ht="36" x14ac:dyDescent="0.25">
      <c r="B17" s="9" t="s">
        <v>228</v>
      </c>
    </row>
    <row r="18" spans="2:2" ht="36" x14ac:dyDescent="0.25">
      <c r="B18" s="9" t="s">
        <v>229</v>
      </c>
    </row>
    <row r="19" spans="2:2" ht="36" x14ac:dyDescent="0.25">
      <c r="B19" s="9" t="s">
        <v>230</v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Historicals</vt:lpstr>
      <vt:lpstr>Assumptions</vt:lpstr>
      <vt:lpstr>WACC</vt:lpstr>
      <vt:lpstr>Projections</vt:lpstr>
      <vt:lpstr>DCF Valuation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Vibhav Shirur</cp:lastModifiedBy>
  <dcterms:created xsi:type="dcterms:W3CDTF">2026-07-29T13:59:30Z</dcterms:created>
  <dcterms:modified xsi:type="dcterms:W3CDTF">2026-08-04T08:54:25Z</dcterms:modified>
</cp:coreProperties>
</file>