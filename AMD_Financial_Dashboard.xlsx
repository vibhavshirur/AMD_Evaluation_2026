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egments" sheetId="5" state="visible" r:id="rId5"/>
    <sheet xmlns:r="http://schemas.openxmlformats.org/officeDocument/2006/relationships" name="Geographic" sheetId="6" state="visible" r:id="rId6"/>
    <sheet xmlns:r="http://schemas.openxmlformats.org/officeDocument/2006/relationships" name="KPI Dashboard" sheetId="7" state="visible" r:id="rId7"/>
    <sheet xmlns:r="http://schemas.openxmlformats.org/officeDocument/2006/relationships" name="Valuation Summary" sheetId="8" state="visible" r:id="rId8"/>
    <sheet xmlns:r="http://schemas.openxmlformats.org/officeDocument/2006/relationships" name="DCF Scenarios" sheetId="9" state="visible" r:id="rId9"/>
    <sheet xmlns:r="http://schemas.openxmlformats.org/officeDocument/2006/relationships" name="Peer Multiple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Power BI Data" sheetId="13" state="visible" r:id="rId13"/>
    <sheet xmlns:r="http://schemas.openxmlformats.org/officeDocument/2006/relationships" name="DAX Measures" sheetId="14" state="visible" r:id="rId14"/>
    <sheet xmlns:r="http://schemas.openxmlformats.org/officeDocument/2006/relationships" name="Glossary" sheetId="15" state="visible" r:id="rId15"/>
    <sheet xmlns:r="http://schemas.openxmlformats.org/officeDocument/2006/relationships" name="_chart_data" sheetId="16" state="hidden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($* #,##0_);_($* (#,##0);_($* &quot;-&quot;_);_(@_)"/>
    <numFmt numFmtId="165" formatCode="0.0%;(0.0%);&quot;-&quot;"/>
    <numFmt numFmtId="166" formatCode="#,##0.00;(#,##0.00);&quot;-&quot;"/>
    <numFmt numFmtId="167" formatCode="#,##0;(#,##0);&quot;-&quot;"/>
    <numFmt numFmtId="168" formatCode="0.00&quot;x&quot;;(0.00&quot;x&quot;);&quot;-&quot;"/>
    <numFmt numFmtId="169" formatCode="#,##0.0&quot; days&quot;;(#,##0.0)&quot; days&quot;;&quot;-&quot;"/>
  </numFmts>
  <fonts count="28">
    <font>
      <name val="Calibri"/>
      <family val="2"/>
      <color theme="1"/>
      <sz val="11"/>
      <scheme val="minor"/>
    </font>
    <font>
      <name val="Noto Sans CJK SC"/>
      <color rgb="001B2A4A"/>
      <sz val="24"/>
    </font>
    <font>
      <name val="Noto Sans CJK SC"/>
      <i val="1"/>
      <color rgb="008C8A84"/>
      <sz val="12"/>
    </font>
    <font>
      <name val="Noto Sans CJK SC"/>
      <color rgb="008C8A84"/>
      <sz val="10"/>
    </font>
    <font>
      <name val="Noto Sans CJK SC"/>
      <color rgb="001B2A4A"/>
      <sz val="20"/>
    </font>
    <font>
      <name val="Noto Sans CJK SC"/>
      <color rgb="001B7D46"/>
      <sz val="10"/>
    </font>
    <font>
      <name val="Noto Sans CJK SC"/>
      <color rgb="00FFFFFF"/>
      <sz val="12"/>
    </font>
    <font>
      <name val="Noto Sans CJK SC"/>
      <color rgb="00FFFFFF"/>
      <sz val="11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i val="1"/>
      <color rgb="008C8A84"/>
      <sz val="9"/>
    </font>
    <font>
      <name val="Noto Sans CJK SC"/>
      <color rgb="001B2A4A"/>
      <sz val="16"/>
    </font>
    <font>
      <name val="Noto Sans CJK SC"/>
      <color rgb="008C8A84"/>
      <sz val="9"/>
    </font>
    <font>
      <name val="Consolas"/>
      <color rgb="0037352F"/>
      <sz val="10"/>
    </font>
    <font>
      <name val="Noto Sans CJK SC"/>
      <i val="1"/>
      <color rgb="008C8A84"/>
      <sz val="10"/>
    </font>
    <font>
      <name val="Noto Sans CJK SC"/>
      <color rgb="001B2A4A"/>
      <sz val="22"/>
    </font>
    <font>
      <name val="Noto Sans CJK SC"/>
      <i val="1"/>
      <color rgb="008C8A84"/>
      <sz val="11"/>
    </font>
    <font>
      <name val="Noto Sans CJK SC"/>
      <color rgb="00C0392B"/>
      <sz val="18"/>
    </font>
    <font>
      <name val="Noto Sans CJK SC"/>
      <color rgb="00D4820A"/>
      <sz val="18"/>
    </font>
    <font>
      <name val="Noto Sans CJK SC"/>
      <color rgb="008C8A84"/>
      <sz val="18"/>
    </font>
    <font>
      <name val="Noto Sans CJK SC"/>
      <color rgb="001B2A4A"/>
      <sz val="12"/>
    </font>
    <font>
      <name val="Noto Sans CJK SC"/>
      <i val="1"/>
      <color rgb="001B2A4A"/>
      <sz val="10"/>
    </font>
    <font>
      <name val="Noto Sans CJK SC"/>
      <color rgb="00C0392B"/>
      <sz val="14"/>
    </font>
    <font>
      <name val="Noto Sans CJK SC"/>
      <color rgb="00C0392B"/>
      <sz val="11"/>
    </font>
    <font>
      <name val="Noto Sans CJK SC"/>
      <color rgb="001B7D46"/>
      <sz val="11"/>
    </font>
    <font>
      <name val="Noto Sans CJK SC"/>
      <i val="1"/>
      <color rgb="001B2A4A"/>
      <sz val="11"/>
    </font>
    <font>
      <name val="Noto Sans CJK SC"/>
      <color rgb="001B2A4A"/>
      <sz val="14"/>
    </font>
    <font>
      <name val="Noto Sans CJK SC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bottom style="thin">
        <color rgb="00E9E9E8"/>
      </bottom>
    </border>
    <border>
      <top style="thin">
        <color rgb="00E9E9E8"/>
      </top>
    </border>
    <border>
      <left/>
      <right/>
      <top/>
      <bottom style="thin">
        <color rgb="00E9E9E8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9" fillId="0" borderId="0" applyAlignment="1" pivotButton="0" quotePrefix="0" xfId="0">
      <alignment horizontal="left" vertical="center" wrapText="1" inden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/>
    </xf>
    <xf numFmtId="164" fontId="9" fillId="4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164" fontId="9" fillId="3" borderId="0" applyAlignment="1" pivotButton="0" quotePrefix="0" xfId="0">
      <alignment horizontal="right" vertical="center"/>
    </xf>
    <xf numFmtId="0" fontId="8" fillId="5" borderId="2" pivotButton="0" quotePrefix="0" xfId="0"/>
    <xf numFmtId="164" fontId="8" fillId="5" borderId="2" applyAlignment="1" pivotButton="0" quotePrefix="0" xfId="0">
      <alignment horizontal="right" vertical="center"/>
    </xf>
    <xf numFmtId="165" fontId="9" fillId="3" borderId="0" applyAlignment="1" pivotButton="0" quotePrefix="0" xfId="0">
      <alignment horizontal="right" vertical="center"/>
    </xf>
    <xf numFmtId="165" fontId="9" fillId="4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166" fontId="9" fillId="3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right" vertical="center"/>
    </xf>
    <xf numFmtId="167" fontId="9" fillId="3" borderId="0" applyAlignment="1" pivotButton="0" quotePrefix="0" xfId="0">
      <alignment horizontal="right" vertical="center"/>
    </xf>
    <xf numFmtId="168" fontId="9" fillId="3" borderId="0" applyAlignment="1" pivotButton="0" quotePrefix="0" xfId="0">
      <alignment horizontal="right" vertical="center"/>
    </xf>
    <xf numFmtId="169" fontId="9" fillId="3" borderId="0" applyAlignment="1" pivotButton="0" quotePrefix="0" xfId="0">
      <alignment horizontal="right" vertical="center"/>
    </xf>
    <xf numFmtId="169" fontId="9" fillId="4" borderId="0" applyAlignment="1" pivotButton="0" quotePrefix="0" xfId="0">
      <alignment horizontal="right" vertical="center"/>
    </xf>
    <xf numFmtId="168" fontId="9" fillId="4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17" fillId="3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left" vertical="center" indent="1"/>
    </xf>
    <xf numFmtId="0" fontId="19" fillId="3" borderId="0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9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indent="1"/>
    </xf>
    <xf numFmtId="0" fontId="21" fillId="5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2"/>
    </xf>
    <xf numFmtId="0" fontId="10" fillId="0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indent="1"/>
    </xf>
    <xf numFmtId="167" fontId="8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indent="1"/>
    </xf>
    <xf numFmtId="167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0" fontId="16" fillId="4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left" vertical="center" wrapText="1" indent="1"/>
    </xf>
    <xf numFmtId="0" fontId="9" fillId="3" borderId="0" applyAlignment="1" pivotButton="0" quotePrefix="0" xfId="0">
      <alignment horizontal="right" vertical="center" indent="1"/>
    </xf>
    <xf numFmtId="0" fontId="8" fillId="5" borderId="0" applyAlignment="1" pivotButton="0" quotePrefix="0" xfId="0">
      <alignment horizontal="left" vertical="center" wrapText="1" indent="1"/>
    </xf>
    <xf numFmtId="0" fontId="23" fillId="5" borderId="0" applyAlignment="1" pivotButton="0" quotePrefix="0" xfId="0">
      <alignment horizontal="right" vertical="center" indent="1"/>
    </xf>
    <xf numFmtId="0" fontId="13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Revenue, Operating Income &amp; Net Income (FY2020-FY2025)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'_chart_data'!B1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'_chart_data'!$A$2:$A$7</f>
            </numRef>
          </cat>
          <val>
            <numRef>
              <f>'_chart_data'!$B$2:$B$7</f>
            </numRef>
          </val>
        </ser>
        <ser>
          <idx val="1"/>
          <order val="1"/>
          <tx>
            <strRef>
              <f>'_chart_data'!C1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'_chart_data'!$A$2:$A$7</f>
            </numRef>
          </cat>
          <val>
            <numRef>
              <f>'_chart_data'!$C$2:$C$7</f>
            </numRef>
          </val>
        </ser>
        <ser>
          <idx val="2"/>
          <order val="2"/>
          <tx>
            <strRef>
              <f>'_chart_data'!D1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'_chart_data'!$A$2:$A$7</f>
            </numRef>
          </cat>
          <val>
            <numRef>
              <f>'_chart_data'!$D$2:$D$7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$ millions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Profitability Margins (FY2020-FY2025)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'_chart_data'!B10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 w="28000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'_chart_data'!$A$11:$A$16</f>
            </numRef>
          </cat>
          <val>
            <numRef>
              <f>'_chart_data'!$B$11:$B$16</f>
            </numRef>
          </val>
        </ser>
        <ser>
          <idx val="1"/>
          <order val="1"/>
          <tx>
            <strRef>
              <f>'_chart_data'!C10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 w="28000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'_chart_data'!$A$11:$A$16</f>
            </numRef>
          </cat>
          <val>
            <numRef>
              <f>'_chart_data'!$C$11:$C$16</f>
            </numRef>
          </val>
        </ser>
        <ser>
          <idx val="2"/>
          <order val="2"/>
          <tx>
            <strRef>
              <f>'_chart_data'!D10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 w="28000">
              <a:solidFill>
                <a:srgbClr val="D482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'_chart_data'!$A$11:$A$16</f>
            </numRef>
          </cat>
          <val>
            <numRef>
              <f>'_chart_data'!$D$11:$D$16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Margin 
(%)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Segment (FY2020-FY2025)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'_chart_data'!B19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'_chart_data'!$A$20:$A$25</f>
            </numRef>
          </cat>
          <val>
            <numRef>
              <f>'_chart_data'!$B$20:$B$25</f>
            </numRef>
          </val>
        </ser>
        <ser>
          <idx val="1"/>
          <order val="1"/>
          <tx>
            <strRef>
              <f>'_chart_data'!C19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'_chart_data'!$A$20:$A$25</f>
            </numRef>
          </cat>
          <val>
            <numRef>
              <f>'_chart_data'!$C$20:$C$25</f>
            </numRef>
          </val>
        </ser>
        <ser>
          <idx val="2"/>
          <order val="2"/>
          <tx>
            <strRef>
              <f>'_chart_data'!D19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'_chart_data'!$A$20:$A$25</f>
            </numRef>
          </cat>
          <val>
            <numRef>
              <f>'_chart_data'!$D$20:$D$25</f>
            </numRef>
          </val>
        </ser>
        <ser>
          <idx val="3"/>
          <order val="3"/>
          <tx>
            <strRef>
              <f>'_chart_data'!E19</f>
            </strRef>
          </tx>
          <spPr>
            <a:solidFill xmlns:a="http://schemas.openxmlformats.org/drawingml/2006/main">
              <a:srgbClr val="8C8A84"/>
            </a:solidFill>
            <a:ln xmlns:a="http://schemas.openxmlformats.org/drawingml/2006/main">
              <a:solidFill>
                <a:srgbClr val="8C8A84"/>
              </a:solidFill>
              <a:prstDash val="solid"/>
            </a:ln>
          </spPr>
          <cat>
            <numRef>
              <f>'_chart_data'!$A$20:$A$25</f>
            </numRef>
          </cat>
          <val>
            <numRef>
              <f>'_chart_data'!$E$20:$E$25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$ millions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Cash Conversion Cycle Components (FY2020-FY2025)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'_chart_data'!B28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 w="28000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'_chart_data'!$A$29:$A$34</f>
            </numRef>
          </cat>
          <val>
            <numRef>
              <f>'_chart_data'!$B$29:$B$34</f>
            </numRef>
          </val>
        </ser>
        <ser>
          <idx val="1"/>
          <order val="1"/>
          <tx>
            <strRef>
              <f>'_chart_data'!C28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 w="28000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'_chart_data'!$A$29:$A$34</f>
            </numRef>
          </cat>
          <val>
            <numRef>
              <f>'_chart_data'!$C$29:$C$34</f>
            </numRef>
          </val>
        </ser>
        <ser>
          <idx val="2"/>
          <order val="2"/>
          <tx>
            <strRef>
              <f>'_chart_data'!D28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 w="28000">
              <a:solidFill>
                <a:srgbClr val="D482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'_chart_data'!$A$29:$A$34</f>
            </numRef>
          </cat>
          <val>
            <numRef>
              <f>'_chart_data'!$D$29:$D$34</f>
            </numRef>
          </val>
        </ser>
        <ser>
          <idx val="3"/>
          <order val="3"/>
          <tx>
            <strRef>
              <f>'_chart_data'!E28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28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'_chart_data'!$A$29:$A$34</f>
            </numRef>
          </cat>
          <val>
            <numRef>
              <f>'_chart_data'!$E$29:$E$34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Days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Cash Flow: Operating CF, CapEx &amp; Free Cash Flow (FY2020-FY2025)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'_chart_data'!B37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'_chart_data'!$A$38:$A$43</f>
            </numRef>
          </cat>
          <val>
            <numRef>
              <f>'_chart_data'!$B$38:$B$43</f>
            </numRef>
          </val>
        </ser>
        <ser>
          <idx val="1"/>
          <order val="1"/>
          <tx>
            <strRef>
              <f>'_chart_data'!C37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'_chart_data'!$A$38:$A$43</f>
            </numRef>
          </cat>
          <val>
            <numRef>
              <f>'_chart_data'!$C$38:$C$43</f>
            </numRef>
          </val>
        </ser>
        <ser>
          <idx val="2"/>
          <order val="2"/>
          <tx>
            <strRef>
              <f>'_chart_data'!D37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'_chart_data'!$A$38:$A$43</f>
            </numRef>
          </cat>
          <val>
            <numRef>
              <f>'_chart_data'!$D$38:$D$43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$ millions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Return Metrics: ROE, ROA, ROIC (FY2020-FY2025)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'_chart_data'!B46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 w="28000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'_chart_data'!$A$47:$A$52</f>
            </numRef>
          </cat>
          <val>
            <numRef>
              <f>'_chart_data'!$B$47:$B$52</f>
            </numRef>
          </val>
        </ser>
        <ser>
          <idx val="1"/>
          <order val="1"/>
          <tx>
            <strRef>
              <f>'_chart_data'!C46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 w="28000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'_chart_data'!$A$47:$A$52</f>
            </numRef>
          </cat>
          <val>
            <numRef>
              <f>'_chart_data'!$C$47:$C$52</f>
            </numRef>
          </val>
        </ser>
        <ser>
          <idx val="2"/>
          <order val="2"/>
          <tx>
            <strRef>
              <f>'_chart_data'!D46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 w="28000">
              <a:solidFill>
                <a:srgbClr val="D482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'_chart_data'!$A$47:$A$52</f>
            </numRef>
          </cat>
          <val>
            <numRef>
              <f>'_chart_data'!$D$47:$D$52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Return 
(%)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YoY Growth: Revenue, Net Income, EPS (FY2021-FY2025)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'_chart_data'!B55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 w="28000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'_chart_data'!$A$56:$A$61</f>
            </numRef>
          </cat>
          <val>
            <numRef>
              <f>'_chart_data'!$B$56:$B$61</f>
            </numRef>
          </val>
        </ser>
        <ser>
          <idx val="1"/>
          <order val="1"/>
          <tx>
            <strRef>
              <f>'_chart_data'!C55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 w="28000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'_chart_data'!$A$56:$A$61</f>
            </numRef>
          </cat>
          <val>
            <numRef>
              <f>'_chart_data'!$C$56:$C$61</f>
            </numRef>
          </val>
        </ser>
        <ser>
          <idx val="2"/>
          <order val="2"/>
          <tx>
            <strRef>
              <f>'_chart_data'!D55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 w="28000">
              <a:solidFill>
                <a:srgbClr val="D482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'_chart_data'!$A$56:$A$61</f>
            </numRef>
          </cat>
          <val>
            <numRef>
              <f>'_chart_data'!$D$56:$D$61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Growth 
(%)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FY2025 Revenue Mix by Segment</a:t>
            </a:r>
          </a:p>
        </rich>
      </tx>
    </title>
    <plotArea>
      <pieChart>
        <varyColors val="1"/>
        <ser>
          <idx val="0"/>
          <order val="0"/>
          <tx>
            <strRef>
              <f>'_chart_data'!B64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'_chart_data'!$A$65:$A$68</f>
            </numRef>
          </cat>
          <val>
            <numRef>
              <f>'_chart_data'!$B$65:$B$68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Z.ai</author>
  </authors>
  <commentList>
    <comment ref="H15" authorId="0" shapeId="0">
      <text>
        <t>FY2025: AMD combined Client and Gaming into a single reportable segment. See 'Client and Gaming (combined)' row.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46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67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88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109</row>
      <rowOff>0</rowOff>
    </from>
    <ext cx="648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130</row>
      <rowOff>0</rowOff>
    </from>
    <ext cx="648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</col>
      <colOff>0</colOff>
      <row>151</row>
      <rowOff>0</rowOff>
    </from>
    <ext cx="504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  <col width="16" customWidth="1" min="6" max="6"/>
  </cols>
  <sheetData>
    <row r="2" ht="8" customHeight="1"/>
    <row r="3" ht="36" customHeight="1">
      <c r="B3" s="1" t="inlineStr">
        <is>
          <t>AMD Interactive Financial Dashboard</t>
        </is>
      </c>
    </row>
    <row r="4" ht="22" customHeight="1">
      <c r="B4" s="2" t="inlineStr">
        <is>
          <t>5-Year Financial Analysis  |  FY2020 – FY2025  |  Power BI Ready Data Model</t>
        </is>
      </c>
    </row>
    <row r="5" ht="4" customHeight="1">
      <c r="B5" s="3" t="n"/>
      <c r="C5" s="3" t="n"/>
      <c r="D5" s="3" t="n"/>
      <c r="E5" s="3" t="n"/>
      <c r="F5" s="3" t="n"/>
    </row>
    <row r="7" ht="18" customHeight="1">
      <c r="B7" s="4" t="inlineStr">
        <is>
          <t>Revenue FY2025</t>
        </is>
      </c>
      <c r="C7" s="4" t="inlineStr">
        <is>
          <t>Operating Margin FY2025</t>
        </is>
      </c>
      <c r="D7" s="4" t="inlineStr">
        <is>
          <t>Net Income FY2025</t>
        </is>
      </c>
      <c r="E7" s="4" t="inlineStr">
        <is>
          <t>Free Cash Flow FY2025</t>
        </is>
      </c>
    </row>
    <row r="8" ht="30" customHeight="1">
      <c r="B8" s="5" t="inlineStr">
        <is>
          <t>$34,639M</t>
        </is>
      </c>
      <c r="C8" s="5" t="inlineStr">
        <is>
          <t>10.7%</t>
        </is>
      </c>
      <c r="D8" s="5" t="inlineStr">
        <is>
          <t>$4,335M</t>
        </is>
      </c>
      <c r="E8" s="5" t="inlineStr">
        <is>
          <t>$6,697M</t>
        </is>
      </c>
    </row>
    <row r="9" ht="18" customHeight="1">
      <c r="B9" s="6" t="inlineStr">
        <is>
          <t>▲ +34% YoY</t>
        </is>
      </c>
      <c r="C9" s="6" t="inlineStr">
        <is>
          <t>▲ +3.4pp YoY</t>
        </is>
      </c>
      <c r="D9" s="6" t="inlineStr">
        <is>
          <t>▲ +164% YoY</t>
        </is>
      </c>
      <c r="E9" s="6" t="inlineStr">
        <is>
          <t>▲ +178% YoY</t>
        </is>
      </c>
    </row>
    <row r="11" ht="8" customHeight="1"/>
    <row r="12" ht="24" customHeight="1">
      <c r="B12" s="7" t="inlineStr">
        <is>
          <t>WHAT'S INSIDE THIS WORKBOOK</t>
        </is>
      </c>
    </row>
    <row r="13" ht="26" customHeight="1">
      <c r="B13" s="8" t="inlineStr">
        <is>
          <t>Sheet</t>
        </is>
      </c>
      <c r="C13" s="8" t="inlineStr">
        <is>
          <t>Purpose</t>
        </is>
      </c>
    </row>
    <row r="14" ht="22" customHeight="1">
      <c r="B14" s="9" t="inlineStr">
        <is>
          <t>README</t>
        </is>
      </c>
      <c r="C14" s="10" t="inlineStr">
        <is>
          <t>This overview — KPI snapshot, sheet directory, methodology</t>
        </is>
      </c>
      <c r="D14" s="11" t="n"/>
      <c r="E14" s="11" t="n"/>
      <c r="F14" s="11" t="n"/>
    </row>
    <row r="15" ht="22" customHeight="1">
      <c r="B15" s="12" t="inlineStr">
        <is>
          <t>Income Statement</t>
        </is>
      </c>
      <c r="C15" s="13" t="inlineStr">
        <is>
          <t>6 years of P&amp;L data with all line items (FY2020-FY2025)</t>
        </is>
      </c>
      <c r="D15" s="14" t="n"/>
      <c r="E15" s="14" t="n"/>
      <c r="F15" s="14" t="n"/>
    </row>
    <row r="16" ht="22" customHeight="1">
      <c r="B16" s="9" t="inlineStr">
        <is>
          <t>Balance Sheet</t>
        </is>
      </c>
      <c r="C16" s="10" t="inlineStr">
        <is>
          <t>6 year-end balance sheet snapshots (Dec 2020 - Dec 2025)</t>
        </is>
      </c>
      <c r="D16" s="11" t="n"/>
      <c r="E16" s="11" t="n"/>
      <c r="F16" s="11" t="n"/>
    </row>
    <row r="17" ht="22" customHeight="1">
      <c r="B17" s="12" t="inlineStr">
        <is>
          <t>Cash Flow</t>
        </is>
      </c>
      <c r="C17" s="13" t="inlineStr">
        <is>
          <t>6 years of cash flow data (operating, investing, financing)</t>
        </is>
      </c>
      <c r="D17" s="14" t="n"/>
      <c r="E17" s="14" t="n"/>
      <c r="F17" s="14" t="n"/>
    </row>
    <row r="18" ht="22" customHeight="1">
      <c r="B18" s="9" t="inlineStr">
        <is>
          <t>Segments</t>
        </is>
      </c>
      <c r="C18" s="10" t="inlineStr">
        <is>
          <t>Revenue &amp; operating income by reportable segment</t>
        </is>
      </c>
      <c r="D18" s="11" t="n"/>
      <c r="E18" s="11" t="n"/>
      <c r="F18" s="11" t="n"/>
    </row>
    <row r="19" ht="22" customHeight="1">
      <c r="B19" s="12" t="inlineStr">
        <is>
          <t>Geographic</t>
        </is>
      </c>
      <c r="C19" s="13" t="inlineStr">
        <is>
          <t>Revenue by geography (FY2020-FY2022 only — limited disclosure)</t>
        </is>
      </c>
      <c r="D19" s="14" t="n"/>
      <c r="E19" s="14" t="n"/>
      <c r="F19" s="14" t="n"/>
    </row>
    <row r="20" ht="22" customHeight="1">
      <c r="B20" s="9" t="inlineStr">
        <is>
          <t>KPI Dashboard</t>
        </is>
      </c>
      <c r="C20" s="10" t="inlineStr">
        <is>
          <t>All calculated KPIs: margins, returns, per-share, growth, CCC</t>
        </is>
      </c>
      <c r="D20" s="11" t="n"/>
      <c r="E20" s="11" t="n"/>
      <c r="F20" s="11" t="n"/>
    </row>
    <row r="21" ht="22" customHeight="1">
      <c r="B21" s="12" t="inlineStr">
        <is>
          <t>Valuation Summary</t>
        </is>
      </c>
      <c r="C21" s="13" t="inlineStr">
        <is>
          <t>DCF scenarios ($58/$72/$90), reverse DCF, Bull/Base/Bear, key thesis</t>
        </is>
      </c>
      <c r="D21" s="14" t="n"/>
      <c r="E21" s="14" t="n"/>
      <c r="F21" s="14" t="n"/>
    </row>
    <row r="22" ht="22" customHeight="1">
      <c r="B22" s="9" t="inlineStr">
        <is>
          <t>DCF Scenarios</t>
        </is>
      </c>
      <c r="C22" s="10" t="inlineStr">
        <is>
          <t>Full P&amp;L + FCF build for Scenarios A &amp; C, WACC bridge, methodology notes</t>
        </is>
      </c>
      <c r="D22" s="11" t="n"/>
      <c r="E22" s="11" t="n"/>
      <c r="F22" s="11" t="n"/>
    </row>
    <row r="23" ht="22" customHeight="1">
      <c r="B23" s="12" t="inlineStr">
        <is>
          <t>Peer Multiples</t>
        </is>
      </c>
      <c r="C23" s="13" t="inlineStr">
        <is>
          <t>Relative valuation vs NVIDIA / Intel / Industry — peer multiples &amp; implied prices</t>
        </is>
      </c>
      <c r="D23" s="14" t="n"/>
      <c r="E23" s="14" t="n"/>
      <c r="F23" s="14" t="n"/>
    </row>
    <row r="24" ht="22" customHeight="1">
      <c r="B24" s="9" t="inlineStr">
        <is>
          <t>Sensitivity</t>
        </is>
      </c>
      <c r="C24" s="10" t="inlineStr">
        <is>
          <t>2-way WACC×g matrix, warrant dilution, FCF margin stress, reverse DCF detail</t>
        </is>
      </c>
      <c r="D24" s="11" t="n"/>
      <c r="E24" s="11" t="n"/>
      <c r="F24" s="11" t="n"/>
    </row>
    <row r="25" ht="22" customHeight="1">
      <c r="B25" s="12" t="inlineStr">
        <is>
          <t>Charts</t>
        </is>
      </c>
      <c r="C25" s="13" t="inlineStr">
        <is>
          <t>8 native Excel charts — executive view of all key trends</t>
        </is>
      </c>
      <c r="D25" s="14" t="n"/>
      <c r="E25" s="14" t="n"/>
      <c r="F25" s="14" t="n"/>
    </row>
    <row r="26" ht="22" customHeight="1">
      <c r="B26" s="9" t="inlineStr">
        <is>
          <t>Power BI Data</t>
        </is>
      </c>
      <c r="C26" s="10" t="inlineStr">
        <is>
          <t>Long-format fact table — ready for direct Power BI import</t>
        </is>
      </c>
      <c r="D26" s="11" t="n"/>
      <c r="E26" s="11" t="n"/>
      <c r="F26" s="11" t="n"/>
    </row>
    <row r="27" ht="22" customHeight="1">
      <c r="B27" s="12" t="inlineStr">
        <is>
          <t>DAX Measures</t>
        </is>
      </c>
      <c r="C27" s="13" t="inlineStr">
        <is>
          <t>Copy-paste DAX formulas for Power BI calculated measures</t>
        </is>
      </c>
      <c r="D27" s="14" t="n"/>
      <c r="E27" s="14" t="n"/>
      <c r="F27" s="14" t="n"/>
    </row>
    <row r="28" ht="22" customHeight="1">
      <c r="B28" s="9" t="inlineStr">
        <is>
          <t>Glossary</t>
        </is>
      </c>
      <c r="C28" s="10" t="inlineStr">
        <is>
          <t>Definitions of every KPI and financial term used</t>
        </is>
      </c>
      <c r="D28" s="11" t="n"/>
      <c r="E28" s="11" t="n"/>
      <c r="F28" s="11" t="n"/>
    </row>
    <row r="31" ht="24" customHeight="1">
      <c r="B31" s="7" t="inlineStr">
        <is>
          <t>DATA SOURCES &amp; METHODOLOGY</t>
        </is>
      </c>
    </row>
    <row r="32" ht="20" customHeight="1">
      <c r="B32" s="15" t="inlineStr">
        <is>
          <t>•  Source filings: AMD Form 10-K filings for fiscal years 2020 through 2025 (5 10-Ks providing 6 fiscal years of comparative data).</t>
        </is>
      </c>
    </row>
    <row r="33" ht="20" customHeight="1">
      <c r="B33" s="15" t="inlineStr">
        <is>
          <t>•  Fiscal year ends: AMD uses a 52/53-week fiscal year ending the last Saturday of December.</t>
        </is>
      </c>
    </row>
    <row r="34" ht="20" customHeight="1">
      <c r="B34" s="15" t="inlineStr">
        <is>
          <t>•  FY2020 ended Dec 26, 2020  |  FY2021 ended Dec 25, 2021  |  FY2022 ended Dec 31, 2022</t>
        </is>
      </c>
    </row>
    <row r="35" ht="20" customHeight="1">
      <c r="B35" s="15" t="inlineStr">
        <is>
          <t>•  FY2023 ended Dec 30, 2023  |  FY2024 ended Dec 28, 2024  |  FY2025 ended Dec 27, 2025</t>
        </is>
      </c>
    </row>
    <row r="36" ht="20" customHeight="1">
      <c r="B36" s="15" t="inlineStr">
        <is>
          <t>•  All dollar amounts in $ millions unless otherwise noted. Per-share data in $.</t>
        </is>
      </c>
    </row>
    <row r="37" ht="20" customHeight="1">
      <c r="B37" s="15" t="inlineStr">
        <is>
          <t>•  Segment data uses the new AMD segment structure (Data Center, Client, Gaming, Embedded) restated across all years.</t>
        </is>
      </c>
    </row>
    <row r="38" ht="20" customHeight="1">
      <c r="B38" s="15" t="inlineStr">
        <is>
          <t>•  FY2025 segment operating income combines Client + Gaming (per AMD's revised reporting). Prior years shown individually AND combined.</t>
        </is>
      </c>
    </row>
    <row r="39" ht="20" customHeight="1">
      <c r="B39" s="15" t="inlineStr">
        <is>
          <t>•  Geographic revenue is only disclosed for FY2020-FY2022 in AMD's 10-Ks.</t>
        </is>
      </c>
    </row>
    <row r="40" ht="20" customHeight="1">
      <c r="B40" s="15" t="inlineStr">
        <is>
          <t>•  All KPIs calculated from raw 10-K line items using formulas (no hardcoded magic numbers).</t>
        </is>
      </c>
    </row>
    <row r="41" ht="20" customHeight="1">
      <c r="B41" s="15" t="inlineStr">
        <is>
          <t>•  Reported in English to match AMD's 10-K filing language.</t>
        </is>
      </c>
    </row>
    <row r="44" ht="24" customHeight="1">
      <c r="B44" s="7" t="inlineStr">
        <is>
          <t>HOW TO IMPORT INTO POWER BI DESKTOP</t>
        </is>
      </c>
    </row>
    <row r="45" ht="20" customHeight="1">
      <c r="B45" s="15" t="inlineStr">
        <is>
          <t>1. Open Power BI Desktop → Get Data → Excel workbook → select this file.</t>
        </is>
      </c>
    </row>
    <row r="46" ht="20" customHeight="1">
      <c r="B46" s="15" t="inlineStr">
        <is>
          <t>2. In Navigator, select 'Power BI Data' sheet (long-format fact table) for the main data model.</t>
        </is>
      </c>
    </row>
    <row r="47" ht="20" customHeight="1">
      <c r="B47" s="15" t="inlineStr">
        <is>
          <t>3. Also load 'Segments' and 'Geographic' sheets as dimension tables if needed.</t>
        </is>
      </c>
    </row>
    <row r="48" ht="20" customHeight="1">
      <c r="B48" s="15" t="inlineStr">
        <is>
          <t>4. In Power Query, set 'Year' as date type, 'Value' as decimal number, 'Metric' as text.</t>
        </is>
      </c>
    </row>
    <row r="49" ht="20" customHeight="1">
      <c r="B49" s="15" t="inlineStr">
        <is>
          <t>5. Create a Year dimension table (distinct Year values) and relate to fact table.</t>
        </is>
      </c>
    </row>
    <row r="50" ht="20" customHeight="1">
      <c r="B50" s="15" t="inlineStr">
        <is>
          <t>6. Add the DAX measures from the 'DAX Measures' sheet as new measures in your model.</t>
        </is>
      </c>
    </row>
    <row r="51" ht="20" customHeight="1">
      <c r="B51" s="15" t="inlineStr">
        <is>
          <t>7. Build visuals: KPI cards for top-row metrics, line charts for trends, bar charts for segment breakdowns.</t>
        </is>
      </c>
    </row>
    <row r="52" ht="20" customHeight="1">
      <c r="B52" s="15" t="inlineStr">
        <is>
          <t>8. Add slicers for Year, Segment, Metric Category — matches the 'Wow Factor' from the project brief.</t>
        </is>
      </c>
    </row>
    <row r="53" ht="20" customHeight="1">
      <c r="B53" s="15" t="inlineStr">
        <is>
          <t>9. Apply the corporate BI theme (navy #1B2A4A + grey #8C8A84 + white).</t>
        </is>
      </c>
    </row>
    <row r="54" ht="20" customHeight="1">
      <c r="B54" s="15" t="inlineStr">
        <is>
          <t>See the separate 'AMD_PowerBI_Guide.pdf' for full step-by-step instructions, DAX measures, and a recommended visual layout.</t>
        </is>
      </c>
    </row>
    <row r="57" ht="18" customHeight="1">
      <c r="B57" s="16" t="inlineStr">
        <is>
          <t>Prepared as a portfolio deliverable for FinTech / Financial Data Analytics roles. Historical data sourced from AMD's public 10-K filings; forward valuation sourced from AMD_Standalone_Research_Note_2026-08-06.</t>
        </is>
      </c>
    </row>
  </sheetData>
  <mergeCells count="42">
    <mergeCell ref="B4:F4"/>
    <mergeCell ref="C17:F17"/>
    <mergeCell ref="C23:F23"/>
    <mergeCell ref="B47:F47"/>
    <mergeCell ref="B54:F54"/>
    <mergeCell ref="B3:F3"/>
    <mergeCell ref="B31:F31"/>
    <mergeCell ref="B46:F46"/>
    <mergeCell ref="C19:F19"/>
    <mergeCell ref="C28:F28"/>
    <mergeCell ref="B52:F52"/>
    <mergeCell ref="C13:F13"/>
    <mergeCell ref="C18:F18"/>
    <mergeCell ref="B12:F12"/>
    <mergeCell ref="B39:F39"/>
    <mergeCell ref="B48:F48"/>
    <mergeCell ref="C15:F15"/>
    <mergeCell ref="C24:F24"/>
    <mergeCell ref="C14:F14"/>
    <mergeCell ref="B57:F57"/>
    <mergeCell ref="B44:F44"/>
    <mergeCell ref="B53:F53"/>
    <mergeCell ref="B38:F38"/>
    <mergeCell ref="B32:F32"/>
    <mergeCell ref="B34:F34"/>
    <mergeCell ref="C20:F20"/>
    <mergeCell ref="C26:F26"/>
    <mergeCell ref="B37:F37"/>
    <mergeCell ref="C16:F16"/>
    <mergeCell ref="C25:F25"/>
    <mergeCell ref="B40:F40"/>
    <mergeCell ref="B49:F49"/>
    <mergeCell ref="C22:F22"/>
    <mergeCell ref="B33:F33"/>
    <mergeCell ref="B51:F51"/>
    <mergeCell ref="C21:F21"/>
    <mergeCell ref="B45:F45"/>
    <mergeCell ref="B36:F36"/>
    <mergeCell ref="C27:F27"/>
    <mergeCell ref="B50:F50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7" t="inlineStr">
        <is>
          <t>AMD Consolidated Statements of Operations ($ millions)</t>
        </is>
      </c>
    </row>
    <row r="3" ht="16" customHeight="1">
      <c r="B3" s="18" t="inlineStr">
        <is>
          <t>Source: AMD 10-K filings FY2020-FY2025  |  All values in $ millions except per-share data</t>
        </is>
      </c>
    </row>
    <row r="4" ht="36" customHeight="1">
      <c r="B4" s="19" t="inlineStr">
        <is>
          <t>($ millions)</t>
        </is>
      </c>
      <c r="C4" s="19" t="inlineStr">
        <is>
          <t>FY2020
Dec 26, 2020</t>
        </is>
      </c>
      <c r="D4" s="19" t="inlineStr">
        <is>
          <t>FY2021
Dec 25, 2021</t>
        </is>
      </c>
      <c r="E4" s="19" t="inlineStr">
        <is>
          <t>FY2022
Dec 31, 2022</t>
        </is>
      </c>
      <c r="F4" s="19" t="inlineStr">
        <is>
          <t>FY2023
Dec 30, 2023</t>
        </is>
      </c>
      <c r="G4" s="19" t="inlineStr">
        <is>
          <t>FY2024
Dec 28, 2024</t>
        </is>
      </c>
      <c r="H4" s="19" t="inlineStr">
        <is>
          <t>FY2025
Dec 27, 2025</t>
        </is>
      </c>
    </row>
    <row r="5" ht="24" customHeight="1">
      <c r="B5" s="7" t="inlineStr">
        <is>
          <t>REVENUE &amp; GROSS PROFIT</t>
        </is>
      </c>
    </row>
    <row r="6" ht="20" customHeight="1">
      <c r="B6" s="20" t="inlineStr">
        <is>
          <t>Net revenue</t>
        </is>
      </c>
      <c r="C6" s="21" t="n">
        <v>9763</v>
      </c>
      <c r="D6" s="21" t="n">
        <v>16434</v>
      </c>
      <c r="E6" s="21" t="n">
        <v>23601</v>
      </c>
      <c r="F6" s="21" t="n">
        <v>22680</v>
      </c>
      <c r="G6" s="21" t="n">
        <v>25785</v>
      </c>
      <c r="H6" s="21" t="n">
        <v>34639</v>
      </c>
    </row>
    <row r="7" ht="20" customHeight="1">
      <c r="B7" s="22" t="inlineStr">
        <is>
          <t>Cost of sales</t>
        </is>
      </c>
      <c r="C7" s="23" t="n">
        <v>5416</v>
      </c>
      <c r="D7" s="23" t="n">
        <v>8505</v>
      </c>
      <c r="E7" s="23" t="n">
        <v>11550</v>
      </c>
      <c r="F7" s="23" t="n">
        <v>11278</v>
      </c>
      <c r="G7" s="23" t="n">
        <v>12114</v>
      </c>
      <c r="H7" s="23" t="n">
        <v>16456</v>
      </c>
    </row>
    <row r="8" ht="20" customHeight="1">
      <c r="B8" s="20" t="inlineStr">
        <is>
          <t>Amort. of acq. intang. (in COGS)</t>
        </is>
      </c>
      <c r="C8" s="21" t="n">
        <v>0</v>
      </c>
      <c r="D8" s="21" t="n">
        <v>0</v>
      </c>
      <c r="E8" s="21" t="n">
        <v>1448</v>
      </c>
      <c r="F8" s="21" t="n">
        <v>942</v>
      </c>
      <c r="G8" s="21" t="n">
        <v>946</v>
      </c>
      <c r="H8" s="21" t="n">
        <v>1031</v>
      </c>
    </row>
    <row r="9" ht="20" customHeight="1">
      <c r="B9" s="24" t="inlineStr">
        <is>
          <t>Total cost of sales</t>
        </is>
      </c>
      <c r="C9" s="25" t="n">
        <v>5416</v>
      </c>
      <c r="D9" s="25" t="n">
        <v>8505</v>
      </c>
      <c r="E9" s="25" t="n">
        <v>12998</v>
      </c>
      <c r="F9" s="25" t="n">
        <v>12220</v>
      </c>
      <c r="G9" s="25" t="n">
        <v>13060</v>
      </c>
      <c r="H9" s="25" t="n">
        <v>17487</v>
      </c>
    </row>
    <row r="10" ht="20" customHeight="1">
      <c r="B10" s="24" t="inlineStr">
        <is>
          <t>Gross profit</t>
        </is>
      </c>
      <c r="C10" s="25" t="n">
        <v>4347</v>
      </c>
      <c r="D10" s="25" t="n">
        <v>7929</v>
      </c>
      <c r="E10" s="25" t="n">
        <v>10603</v>
      </c>
      <c r="F10" s="25" t="n">
        <v>10460</v>
      </c>
      <c r="G10" s="25" t="n">
        <v>12725</v>
      </c>
      <c r="H10" s="25" t="n">
        <v>17152</v>
      </c>
    </row>
    <row r="11" ht="20" customHeight="1">
      <c r="B11" s="22" t="inlineStr">
        <is>
          <t>Gross margin (%)</t>
        </is>
      </c>
      <c r="C11" s="26" t="n">
        <v>0.4452524838676636</v>
      </c>
      <c r="D11" s="26" t="n">
        <v>0.4824753559693319</v>
      </c>
      <c r="E11" s="26" t="n">
        <v>0.4492606245498072</v>
      </c>
      <c r="F11" s="26" t="n">
        <v>0.4611992945326279</v>
      </c>
      <c r="G11" s="26" t="n">
        <v>0.4935039751793678</v>
      </c>
      <c r="H11" s="26" t="n">
        <v>0.4951644100580271</v>
      </c>
    </row>
    <row r="13" ht="24" customHeight="1">
      <c r="B13" s="7" t="inlineStr">
        <is>
          <t>OPERATING EXPENSES</t>
        </is>
      </c>
    </row>
    <row r="14" ht="20" customHeight="1">
      <c r="B14" s="20" t="inlineStr">
        <is>
          <t>Research and development</t>
        </is>
      </c>
      <c r="C14" s="21" t="n">
        <v>1983</v>
      </c>
      <c r="D14" s="21" t="n">
        <v>2845</v>
      </c>
      <c r="E14" s="21" t="n">
        <v>5005</v>
      </c>
      <c r="F14" s="21" t="n">
        <v>5872</v>
      </c>
      <c r="G14" s="21" t="n">
        <v>6456</v>
      </c>
      <c r="H14" s="21" t="n">
        <v>8091</v>
      </c>
    </row>
    <row r="15" ht="20" customHeight="1">
      <c r="B15" s="22" t="inlineStr">
        <is>
          <t>Marketing, general &amp; administrative</t>
        </is>
      </c>
      <c r="C15" s="23" t="n">
        <v>995</v>
      </c>
      <c r="D15" s="23" t="n">
        <v>1436</v>
      </c>
      <c r="E15" s="23" t="n">
        <v>2234</v>
      </c>
      <c r="F15" s="23" t="n">
        <v>2318</v>
      </c>
      <c r="G15" s="23" t="n">
        <v>2735</v>
      </c>
      <c r="H15" s="23" t="n">
        <v>4144</v>
      </c>
    </row>
    <row r="16" ht="20" customHeight="1">
      <c r="B16" s="20" t="inlineStr">
        <is>
          <t>Amort. of acq. intang. (in OpEx)</t>
        </is>
      </c>
      <c r="C16" s="21" t="n">
        <v>0</v>
      </c>
      <c r="D16" s="21" t="n">
        <v>0</v>
      </c>
      <c r="E16" s="21" t="n">
        <v>2100</v>
      </c>
      <c r="F16" s="21" t="n">
        <v>1869</v>
      </c>
      <c r="G16" s="21" t="n">
        <v>1448</v>
      </c>
      <c r="H16" s="21" t="n">
        <v>1223</v>
      </c>
    </row>
    <row r="17" ht="20" customHeight="1">
      <c r="B17" s="22" t="inlineStr">
        <is>
          <t>Restructuring charges</t>
        </is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186</v>
      </c>
      <c r="H17" s="23" t="n">
        <v>0</v>
      </c>
    </row>
    <row r="18" ht="20" customHeight="1">
      <c r="B18" s="24" t="inlineStr">
        <is>
          <t>Total operating expenses</t>
        </is>
      </c>
      <c r="C18" s="25" t="n">
        <v>2978</v>
      </c>
      <c r="D18" s="25" t="n">
        <v>4281</v>
      </c>
      <c r="E18" s="25" t="n">
        <v>9339</v>
      </c>
      <c r="F18" s="25" t="n">
        <v>10059</v>
      </c>
      <c r="G18" s="25" t="n">
        <v>10825</v>
      </c>
      <c r="H18" s="25" t="n">
        <v>13458</v>
      </c>
    </row>
    <row r="20" ht="24" customHeight="1">
      <c r="B20" s="7" t="inlineStr">
        <is>
          <t>OPERATING INCOME &amp; BELOW THE LINE</t>
        </is>
      </c>
    </row>
    <row r="21" ht="20" customHeight="1">
      <c r="B21" s="24" t="inlineStr">
        <is>
          <t>Operating income</t>
        </is>
      </c>
      <c r="C21" s="25" t="n">
        <v>1369</v>
      </c>
      <c r="D21" s="25" t="n">
        <v>3648</v>
      </c>
      <c r="E21" s="25" t="n">
        <v>1264</v>
      </c>
      <c r="F21" s="25" t="n">
        <v>401</v>
      </c>
      <c r="G21" s="25" t="n">
        <v>1900</v>
      </c>
      <c r="H21" s="25" t="n">
        <v>3694</v>
      </c>
    </row>
    <row r="22" ht="20" customHeight="1">
      <c r="B22" s="20" t="inlineStr">
        <is>
          <t>Operating margin (%)</t>
        </is>
      </c>
      <c r="C22" s="27" t="n">
        <v>0.1402232920208952</v>
      </c>
      <c r="D22" s="27" t="n">
        <v>0.2219788243884629</v>
      </c>
      <c r="E22" s="27" t="n">
        <v>0.05355705266725986</v>
      </c>
      <c r="F22" s="27" t="n">
        <v>0.01768077601410935</v>
      </c>
      <c r="G22" s="27" t="n">
        <v>0.0736862516967229</v>
      </c>
      <c r="H22" s="27" t="n">
        <v>0.106642801466555</v>
      </c>
    </row>
    <row r="23" ht="20" customHeight="1">
      <c r="B23" s="22" t="inlineStr">
        <is>
          <t>Interest expense</t>
        </is>
      </c>
      <c r="C23" s="23" t="n">
        <v>-47</v>
      </c>
      <c r="D23" s="23" t="n">
        <v>-34</v>
      </c>
      <c r="E23" s="23" t="n">
        <v>-88</v>
      </c>
      <c r="F23" s="23" t="n">
        <v>-106</v>
      </c>
      <c r="G23" s="23" t="n">
        <v>-92</v>
      </c>
      <c r="H23" s="23" t="n">
        <v>-131</v>
      </c>
    </row>
    <row r="24" ht="20" customHeight="1">
      <c r="B24" s="20" t="inlineStr">
        <is>
          <t>Other income (expense), net</t>
        </is>
      </c>
      <c r="C24" s="21" t="n">
        <v>-47</v>
      </c>
      <c r="D24" s="21" t="n">
        <v>55</v>
      </c>
      <c r="E24" s="21" t="n">
        <v>8</v>
      </c>
      <c r="F24" s="21" t="n">
        <v>197</v>
      </c>
      <c r="G24" s="21" t="n">
        <v>181</v>
      </c>
      <c r="H24" s="21" t="n">
        <v>577</v>
      </c>
    </row>
    <row r="25" ht="20" customHeight="1">
      <c r="B25" s="24" t="inlineStr">
        <is>
          <t>Income before tax</t>
        </is>
      </c>
      <c r="C25" s="25" t="n">
        <v>1275</v>
      </c>
      <c r="D25" s="25" t="n">
        <v>3669</v>
      </c>
      <c r="E25" s="25" t="n">
        <v>1184</v>
      </c>
      <c r="F25" s="25" t="n">
        <v>492</v>
      </c>
      <c r="G25" s="25" t="n">
        <v>1989</v>
      </c>
      <c r="H25" s="25" t="n">
        <v>4140</v>
      </c>
    </row>
    <row r="26" ht="20" customHeight="1">
      <c r="B26" s="20" t="inlineStr">
        <is>
          <t>Income tax provision (benefit)</t>
        </is>
      </c>
      <c r="C26" s="21" t="n">
        <v>-1210</v>
      </c>
      <c r="D26" s="21" t="n">
        <v>513</v>
      </c>
      <c r="E26" s="21" t="n">
        <v>-122</v>
      </c>
      <c r="F26" s="21" t="n">
        <v>-346</v>
      </c>
      <c r="G26" s="21" t="n">
        <v>381</v>
      </c>
      <c r="H26" s="21" t="n">
        <v>-103</v>
      </c>
    </row>
    <row r="27" ht="20" customHeight="1">
      <c r="B27" s="22" t="inlineStr">
        <is>
          <t>Equity income in investee</t>
        </is>
      </c>
      <c r="C27" s="23" t="n">
        <v>5</v>
      </c>
      <c r="D27" s="23" t="n">
        <v>6</v>
      </c>
      <c r="E27" s="23" t="n">
        <v>14</v>
      </c>
      <c r="F27" s="23" t="n">
        <v>16</v>
      </c>
      <c r="G27" s="23" t="n">
        <v>33</v>
      </c>
      <c r="H27" s="23" t="n">
        <v>26</v>
      </c>
    </row>
    <row r="28" ht="20" customHeight="1">
      <c r="B28" s="24" t="inlineStr">
        <is>
          <t>Net income</t>
        </is>
      </c>
      <c r="C28" s="25" t="n">
        <v>2490</v>
      </c>
      <c r="D28" s="25" t="n">
        <v>3162</v>
      </c>
      <c r="E28" s="25" t="n">
        <v>1320</v>
      </c>
      <c r="F28" s="25" t="n">
        <v>854</v>
      </c>
      <c r="G28" s="25" t="n">
        <v>1641</v>
      </c>
      <c r="H28" s="25" t="n">
        <v>4335</v>
      </c>
    </row>
    <row r="29" ht="20" customHeight="1">
      <c r="B29" s="22" t="inlineStr">
        <is>
          <t>Net profit margin (%)</t>
        </is>
      </c>
      <c r="C29" s="26" t="n">
        <v>0.2550445559766465</v>
      </c>
      <c r="D29" s="26" t="n">
        <v>0.1924059875867105</v>
      </c>
      <c r="E29" s="26" t="n">
        <v>0.05592983348163214</v>
      </c>
      <c r="F29" s="26" t="n">
        <v>0.03765432098765432</v>
      </c>
      <c r="G29" s="26" t="n">
        <v>0.06364165212332752</v>
      </c>
      <c r="H29" s="26" t="n">
        <v>0.1251479546176275</v>
      </c>
    </row>
    <row r="31" ht="24" customHeight="1">
      <c r="B31" s="7" t="inlineStr">
        <is>
          <t>PER-SHARE DATA</t>
        </is>
      </c>
    </row>
    <row r="32" ht="20" customHeight="1">
      <c r="B32" s="20" t="inlineStr">
        <is>
          <t>EPS basic ($)</t>
        </is>
      </c>
      <c r="C32" s="28" t="n">
        <v>2.1</v>
      </c>
      <c r="D32" s="28" t="n">
        <v>2.61</v>
      </c>
      <c r="E32" s="28" t="n">
        <v>0.85</v>
      </c>
      <c r="F32" s="28" t="n">
        <v>0.53</v>
      </c>
      <c r="G32" s="28" t="n">
        <v>1.01</v>
      </c>
      <c r="H32" s="28" t="n">
        <v>2.67</v>
      </c>
    </row>
    <row r="33" ht="20" customHeight="1">
      <c r="B33" s="22" t="inlineStr">
        <is>
          <t>EPS diluted ($)</t>
        </is>
      </c>
      <c r="C33" s="29" t="n">
        <v>2.06</v>
      </c>
      <c r="D33" s="29" t="n">
        <v>2.57</v>
      </c>
      <c r="E33" s="29" t="n">
        <v>0.84</v>
      </c>
      <c r="F33" s="29" t="n">
        <v>0.53</v>
      </c>
      <c r="G33" s="29" t="n">
        <v>1</v>
      </c>
      <c r="H33" s="29" t="n">
        <v>2.65</v>
      </c>
    </row>
    <row r="34" ht="20" customHeight="1">
      <c r="B34" s="20" t="inlineStr">
        <is>
          <t>Shares basic (M)</t>
        </is>
      </c>
      <c r="C34" s="30" t="n">
        <v>1184</v>
      </c>
      <c r="D34" s="30" t="n">
        <v>1213</v>
      </c>
      <c r="E34" s="30" t="n">
        <v>1561</v>
      </c>
      <c r="F34" s="30" t="n">
        <v>1614</v>
      </c>
      <c r="G34" s="30" t="n">
        <v>1620</v>
      </c>
      <c r="H34" s="30" t="n">
        <v>1624</v>
      </c>
    </row>
    <row r="35" ht="20" customHeight="1">
      <c r="B35" s="22" t="inlineStr">
        <is>
          <t>Shares diluted (M)</t>
        </is>
      </c>
      <c r="C35" s="31" t="n">
        <v>1207</v>
      </c>
      <c r="D35" s="31" t="n">
        <v>1229</v>
      </c>
      <c r="E35" s="31" t="n">
        <v>1571</v>
      </c>
      <c r="F35" s="31" t="n">
        <v>1625</v>
      </c>
      <c r="G35" s="31" t="n">
        <v>1637</v>
      </c>
      <c r="H35" s="31" t="n">
        <v>1636</v>
      </c>
    </row>
  </sheetData>
  <mergeCells count="6">
    <mergeCell ref="B13:I13"/>
    <mergeCell ref="B2:I2"/>
    <mergeCell ref="B20:I20"/>
    <mergeCell ref="B3:I3"/>
    <mergeCell ref="B5:I5"/>
    <mergeCell ref="B31:I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7" t="inlineStr">
        <is>
          <t>AMD Consolidated Balance Sheets ($ millions, fiscal year-end)</t>
        </is>
      </c>
    </row>
    <row r="3" ht="16" customHeight="1">
      <c r="B3" s="18" t="inlineStr">
        <is>
          <t>Source: AMD 10-K filings FY2020-FY2025  |  Point-in-time at fiscal year-end  |  All values in $ millions</t>
        </is>
      </c>
    </row>
    <row r="4" ht="36" customHeight="1">
      <c r="B4" s="19" t="inlineStr">
        <is>
          <t>($ millions)</t>
        </is>
      </c>
      <c r="C4" s="19" t="inlineStr">
        <is>
          <t>As of
Dec 26, 2020</t>
        </is>
      </c>
      <c r="D4" s="19" t="inlineStr">
        <is>
          <t>As of
Dec 25, 2021</t>
        </is>
      </c>
      <c r="E4" s="19" t="inlineStr">
        <is>
          <t>As of
Dec 31, 2022</t>
        </is>
      </c>
      <c r="F4" s="19" t="inlineStr">
        <is>
          <t>As of
Dec 30, 2023</t>
        </is>
      </c>
      <c r="G4" s="19" t="inlineStr">
        <is>
          <t>As of
Dec 28, 2024</t>
        </is>
      </c>
      <c r="H4" s="19" t="inlineStr">
        <is>
          <t>As of
Dec 27, 2025</t>
        </is>
      </c>
    </row>
    <row r="5" ht="24" customHeight="1">
      <c r="B5" s="7" t="inlineStr">
        <is>
          <t>ASSETS — CURRENT</t>
        </is>
      </c>
    </row>
    <row r="6" ht="20" customHeight="1">
      <c r="B6" s="20" t="inlineStr">
        <is>
          <t>Cash and cash equivalents</t>
        </is>
      </c>
      <c r="C6" s="21" t="n">
        <v>1595</v>
      </c>
      <c r="D6" s="21" t="n">
        <v>2535</v>
      </c>
      <c r="E6" s="21" t="n">
        <v>4835</v>
      </c>
      <c r="F6" s="21" t="n">
        <v>3933</v>
      </c>
      <c r="G6" s="21" t="n">
        <v>3787</v>
      </c>
      <c r="H6" s="21" t="n">
        <v>5539</v>
      </c>
    </row>
    <row r="7" ht="20" customHeight="1">
      <c r="B7" s="22" t="inlineStr">
        <is>
          <t>Short-term investments</t>
        </is>
      </c>
      <c r="C7" s="23" t="n">
        <v>695</v>
      </c>
      <c r="D7" s="23" t="n">
        <v>1073</v>
      </c>
      <c r="E7" s="23" t="n">
        <v>1020</v>
      </c>
      <c r="F7" s="23" t="n">
        <v>1840</v>
      </c>
      <c r="G7" s="23" t="n">
        <v>1345</v>
      </c>
      <c r="H7" s="23" t="n">
        <v>5013</v>
      </c>
    </row>
    <row r="8" ht="20" customHeight="1">
      <c r="B8" s="20" t="inlineStr">
        <is>
          <t>Accounts receivable, net</t>
        </is>
      </c>
      <c r="C8" s="21" t="n">
        <v>2066</v>
      </c>
      <c r="D8" s="21" t="n">
        <v>2706</v>
      </c>
      <c r="E8" s="21" t="n">
        <v>4126</v>
      </c>
      <c r="F8" s="21" t="n">
        <v>4323</v>
      </c>
      <c r="G8" s="21" t="n">
        <v>6192</v>
      </c>
      <c r="H8" s="21" t="n">
        <v>6315</v>
      </c>
    </row>
    <row r="9" ht="20" customHeight="1">
      <c r="B9" s="22" t="inlineStr">
        <is>
          <t>Inventories</t>
        </is>
      </c>
      <c r="C9" s="23" t="n">
        <v>1399</v>
      </c>
      <c r="D9" s="23" t="n">
        <v>1955</v>
      </c>
      <c r="E9" s="23" t="n">
        <v>3771</v>
      </c>
      <c r="F9" s="23" t="n">
        <v>4351</v>
      </c>
      <c r="G9" s="23" t="n">
        <v>5734</v>
      </c>
      <c r="H9" s="23" t="n">
        <v>7920</v>
      </c>
    </row>
    <row r="10" ht="20" customHeight="1">
      <c r="B10" s="20" t="inlineStr">
        <is>
          <t>Prepaid &amp; other current assets</t>
        </is>
      </c>
      <c r="C10" s="21" t="n">
        <v>378</v>
      </c>
      <c r="D10" s="21" t="n">
        <v>312</v>
      </c>
      <c r="E10" s="21" t="n">
        <v>1265</v>
      </c>
      <c r="F10" s="21" t="n">
        <v>2312</v>
      </c>
      <c r="G10" s="21" t="n">
        <v>1878</v>
      </c>
      <c r="H10" s="21" t="n">
        <v>2160</v>
      </c>
    </row>
    <row r="11" ht="20" customHeight="1">
      <c r="B11" s="24" t="inlineStr">
        <is>
          <t>Total current assets</t>
        </is>
      </c>
      <c r="C11" s="25" t="n">
        <v>6143</v>
      </c>
      <c r="D11" s="25" t="n">
        <v>8583</v>
      </c>
      <c r="E11" s="25" t="n">
        <v>15019</v>
      </c>
      <c r="F11" s="25" t="n">
        <v>16768</v>
      </c>
      <c r="G11" s="25" t="n">
        <v>19049</v>
      </c>
      <c r="H11" s="25" t="n">
        <v>26947</v>
      </c>
    </row>
    <row r="13" ht="24" customHeight="1">
      <c r="B13" s="7" t="inlineStr">
        <is>
          <t>ASSETS — NON-CURRENT</t>
        </is>
      </c>
    </row>
    <row r="14" ht="20" customHeight="1">
      <c r="B14" s="20" t="inlineStr">
        <is>
          <t>Property and equipment, net</t>
        </is>
      </c>
      <c r="C14" s="21" t="n">
        <v>641</v>
      </c>
      <c r="D14" s="21" t="n">
        <v>702</v>
      </c>
      <c r="E14" s="21" t="n">
        <v>1513</v>
      </c>
      <c r="F14" s="21" t="n">
        <v>1589</v>
      </c>
      <c r="G14" s="21" t="n">
        <v>1802</v>
      </c>
      <c r="H14" s="21" t="n">
        <v>2312</v>
      </c>
    </row>
    <row r="15" ht="20" customHeight="1">
      <c r="B15" s="22" t="inlineStr">
        <is>
          <t>Goodwill</t>
        </is>
      </c>
      <c r="C15" s="23" t="n">
        <v>289</v>
      </c>
      <c r="D15" s="23" t="n">
        <v>289</v>
      </c>
      <c r="E15" s="23" t="n">
        <v>24177</v>
      </c>
      <c r="F15" s="23" t="n">
        <v>24262</v>
      </c>
      <c r="G15" s="23" t="n">
        <v>24839</v>
      </c>
      <c r="H15" s="23" t="n">
        <v>25126</v>
      </c>
    </row>
    <row r="16" ht="20" customHeight="1">
      <c r="B16" s="20" t="inlineStr">
        <is>
          <t>Acquisition-related intangibles</t>
        </is>
      </c>
      <c r="C16" s="21" t="n">
        <v>0</v>
      </c>
      <c r="D16" s="21" t="n">
        <v>0</v>
      </c>
      <c r="E16" s="21" t="n">
        <v>24118</v>
      </c>
      <c r="F16" s="21" t="n">
        <v>21363</v>
      </c>
      <c r="G16" s="21" t="n">
        <v>18930</v>
      </c>
      <c r="H16" s="21" t="n">
        <v>16705</v>
      </c>
    </row>
    <row r="17" ht="20" customHeight="1">
      <c r="B17" s="22" t="inlineStr">
        <is>
          <t>Deferred tax assets, net</t>
        </is>
      </c>
      <c r="C17" s="23" t="n">
        <v>1245</v>
      </c>
      <c r="D17" s="23" t="n">
        <v>931</v>
      </c>
      <c r="E17" s="23" t="n">
        <v>58</v>
      </c>
      <c r="F17" s="23" t="n">
        <v>366</v>
      </c>
      <c r="G17" s="23" t="n">
        <v>688</v>
      </c>
      <c r="H17" s="23" t="n">
        <v>384</v>
      </c>
    </row>
    <row r="18" ht="20" customHeight="1">
      <c r="B18" s="20" t="inlineStr">
        <is>
          <t>Other non-current assets</t>
        </is>
      </c>
      <c r="C18" s="21" t="n">
        <v>373</v>
      </c>
      <c r="D18" s="21" t="n">
        <v>1478</v>
      </c>
      <c r="E18" s="21" t="n">
        <v>2152</v>
      </c>
      <c r="F18" s="21" t="n">
        <v>2805</v>
      </c>
      <c r="G18" s="21" t="n">
        <v>3146</v>
      </c>
      <c r="H18" s="21" t="n">
        <v>5452</v>
      </c>
    </row>
    <row r="19" ht="20" customHeight="1">
      <c r="B19" s="24" t="inlineStr">
        <is>
          <t>Total assets</t>
        </is>
      </c>
      <c r="C19" s="25" t="n">
        <v>8962</v>
      </c>
      <c r="D19" s="25" t="n">
        <v>12419</v>
      </c>
      <c r="E19" s="25" t="n">
        <v>67580</v>
      </c>
      <c r="F19" s="25" t="n">
        <v>67885</v>
      </c>
      <c r="G19" s="25" t="n">
        <v>69226</v>
      </c>
      <c r="H19" s="25" t="n">
        <v>76926</v>
      </c>
    </row>
    <row r="21" ht="24" customHeight="1">
      <c r="B21" s="7" t="inlineStr">
        <is>
          <t>LIABILITIES — CURRENT</t>
        </is>
      </c>
    </row>
    <row r="22" ht="20" customHeight="1">
      <c r="B22" s="20" t="inlineStr">
        <is>
          <t>Accounts payable</t>
        </is>
      </c>
      <c r="C22" s="21" t="n">
        <v>468</v>
      </c>
      <c r="D22" s="21" t="n">
        <v>1321</v>
      </c>
      <c r="E22" s="21" t="n">
        <v>2493</v>
      </c>
      <c r="F22" s="21" t="n">
        <v>2055</v>
      </c>
      <c r="G22" s="21" t="n">
        <v>1990</v>
      </c>
      <c r="H22" s="21" t="n">
        <v>2929</v>
      </c>
    </row>
    <row r="23" ht="20" customHeight="1">
      <c r="B23" s="22" t="inlineStr">
        <is>
          <t>Accrued liabilities</t>
        </is>
      </c>
      <c r="C23" s="23" t="n">
        <v>1796</v>
      </c>
      <c r="D23" s="23" t="n">
        <v>2424</v>
      </c>
      <c r="E23" s="23" t="n">
        <v>3077</v>
      </c>
      <c r="F23" s="23" t="n">
        <v>3082</v>
      </c>
      <c r="G23" s="23" t="n">
        <v>4260</v>
      </c>
      <c r="H23" s="23" t="n">
        <v>5250</v>
      </c>
    </row>
    <row r="24" ht="20" customHeight="1">
      <c r="B24" s="20" t="inlineStr">
        <is>
          <t>Current portion of long-term debt</t>
        </is>
      </c>
      <c r="C24" s="21" t="n">
        <v>0</v>
      </c>
      <c r="D24" s="21" t="n">
        <v>312</v>
      </c>
      <c r="E24" s="21" t="n">
        <v>0</v>
      </c>
      <c r="F24" s="21" t="n">
        <v>751</v>
      </c>
      <c r="G24" s="21" t="n">
        <v>0</v>
      </c>
      <c r="H24" s="21" t="n">
        <v>874</v>
      </c>
    </row>
    <row r="25" ht="20" customHeight="1">
      <c r="B25" s="22" t="inlineStr">
        <is>
          <t>Other current liabilities</t>
        </is>
      </c>
      <c r="C25" s="23" t="n">
        <v>75</v>
      </c>
      <c r="D25" s="23" t="n">
        <v>98</v>
      </c>
      <c r="E25" s="23" t="n">
        <v>336</v>
      </c>
      <c r="F25" s="23" t="n">
        <v>438</v>
      </c>
      <c r="G25" s="23" t="n">
        <v>555</v>
      </c>
      <c r="H25" s="23" t="n">
        <v>402</v>
      </c>
    </row>
    <row r="26" ht="20" customHeight="1">
      <c r="B26" s="24" t="inlineStr">
        <is>
          <t>Total current liabilities</t>
        </is>
      </c>
      <c r="C26" s="25" t="n">
        <v>2417</v>
      </c>
      <c r="D26" s="25" t="n">
        <v>4240</v>
      </c>
      <c r="E26" s="25" t="n">
        <v>6369</v>
      </c>
      <c r="F26" s="25" t="n">
        <v>6689</v>
      </c>
      <c r="G26" s="25" t="n">
        <v>7281</v>
      </c>
      <c r="H26" s="25" t="n">
        <v>9455</v>
      </c>
    </row>
    <row r="28" ht="24" customHeight="1">
      <c r="B28" s="7" t="inlineStr">
        <is>
          <t>LIABILITIES — NON-CURRENT &amp; EQUITY</t>
        </is>
      </c>
    </row>
    <row r="29" ht="20" customHeight="1">
      <c r="B29" s="22" t="inlineStr">
        <is>
          <t>Long-term debt</t>
        </is>
      </c>
      <c r="C29" s="23" t="n">
        <v>330</v>
      </c>
      <c r="D29" s="23" t="n">
        <v>1</v>
      </c>
      <c r="E29" s="23" t="n">
        <v>2467</v>
      </c>
      <c r="F29" s="23" t="n">
        <v>1717</v>
      </c>
      <c r="G29" s="23" t="n">
        <v>1721</v>
      </c>
      <c r="H29" s="23" t="n">
        <v>2348</v>
      </c>
    </row>
    <row r="30" ht="20" customHeight="1">
      <c r="B30" s="20" t="inlineStr">
        <is>
          <t>Deferred tax liabilities</t>
        </is>
      </c>
      <c r="C30" s="21" t="n">
        <v>0</v>
      </c>
      <c r="D30" s="21" t="n">
        <v>12</v>
      </c>
      <c r="E30" s="21" t="n">
        <v>1934</v>
      </c>
      <c r="F30" s="21" t="n">
        <v>1202</v>
      </c>
      <c r="G30" s="21" t="n">
        <v>349</v>
      </c>
      <c r="H30" s="21" t="n">
        <v>313</v>
      </c>
    </row>
    <row r="31" ht="20" customHeight="1">
      <c r="B31" s="22" t="inlineStr">
        <is>
          <t>Other long-term liabilities</t>
        </is>
      </c>
      <c r="C31" s="23" t="n">
        <v>177</v>
      </c>
      <c r="D31" s="23" t="n">
        <v>333</v>
      </c>
      <c r="E31" s="23" t="n">
        <v>1664</v>
      </c>
      <c r="F31" s="23" t="n">
        <v>1850</v>
      </c>
      <c r="G31" s="23" t="n">
        <v>1816</v>
      </c>
      <c r="H31" s="23" t="n">
        <v>1186</v>
      </c>
    </row>
    <row r="32" ht="20" customHeight="1">
      <c r="B32" s="24" t="inlineStr">
        <is>
          <t>Total stockholders' equity</t>
        </is>
      </c>
      <c r="C32" s="25" t="n">
        <v>5837</v>
      </c>
      <c r="D32" s="25" t="n">
        <v>7497</v>
      </c>
      <c r="E32" s="25" t="n">
        <v>54750</v>
      </c>
      <c r="F32" s="25" t="n">
        <v>55892</v>
      </c>
      <c r="G32" s="25" t="n">
        <v>57568</v>
      </c>
      <c r="H32" s="25" t="n">
        <v>62999</v>
      </c>
    </row>
  </sheetData>
  <mergeCells count="6">
    <mergeCell ref="B13:I13"/>
    <mergeCell ref="B21:I21"/>
    <mergeCell ref="B2:I2"/>
    <mergeCell ref="B28:I28"/>
    <mergeCell ref="B3:I3"/>
    <mergeCell ref="B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7" t="inlineStr">
        <is>
          <t>AMD Consolidated Statements of Cash Flows ($ millions)</t>
        </is>
      </c>
    </row>
    <row r="3" ht="16" customHeight="1">
      <c r="B3" s="18" t="inlineStr">
        <is>
          <t>Source: AMD 10-K filings FY2020-FY2025  |  All values in $ millions</t>
        </is>
      </c>
    </row>
    <row r="4" ht="36" customHeight="1">
      <c r="B4" s="19" t="inlineStr">
        <is>
          <t>($ millions)</t>
        </is>
      </c>
      <c r="C4" s="19" t="inlineStr">
        <is>
          <t>FY2020
Dec 26, 2020</t>
        </is>
      </c>
      <c r="D4" s="19" t="inlineStr">
        <is>
          <t>FY2021
Dec 25, 2021</t>
        </is>
      </c>
      <c r="E4" s="19" t="inlineStr">
        <is>
          <t>FY2022
Dec 31, 2022</t>
        </is>
      </c>
      <c r="F4" s="19" t="inlineStr">
        <is>
          <t>FY2023
Dec 30, 2023</t>
        </is>
      </c>
      <c r="G4" s="19" t="inlineStr">
        <is>
          <t>FY2024
Dec 28, 2024</t>
        </is>
      </c>
      <c r="H4" s="19" t="inlineStr">
        <is>
          <t>FY2025
Dec 27, 2025</t>
        </is>
      </c>
    </row>
    <row r="5" ht="24" customHeight="1">
      <c r="B5" s="7" t="inlineStr">
        <is>
          <t>OPERATING ACTIVITIES</t>
        </is>
      </c>
    </row>
    <row r="6" ht="20" customHeight="1">
      <c r="B6" s="24" t="inlineStr">
        <is>
          <t>Net cash from operating activities</t>
        </is>
      </c>
      <c r="C6" s="25" t="n">
        <v>1071</v>
      </c>
      <c r="D6" s="25" t="n">
        <v>3521</v>
      </c>
      <c r="E6" s="25" t="n">
        <v>3565</v>
      </c>
      <c r="F6" s="25" t="n">
        <v>1667</v>
      </c>
      <c r="G6" s="25" t="n">
        <v>3041</v>
      </c>
      <c r="H6" s="25" t="n">
        <v>7709</v>
      </c>
    </row>
    <row r="7" ht="20" customHeight="1">
      <c r="B7" s="22" t="inlineStr">
        <is>
          <t>Operating cash flow margin (%)</t>
        </is>
      </c>
      <c r="C7" s="26" t="n">
        <v>0.1096998873297142</v>
      </c>
      <c r="D7" s="26" t="n">
        <v>0.2142509431666058</v>
      </c>
      <c r="E7" s="26" t="n">
        <v>0.1510529214863777</v>
      </c>
      <c r="F7" s="26" t="n">
        <v>0.07350088183421517</v>
      </c>
      <c r="G7" s="26" t="n">
        <v>0.1179367849524918</v>
      </c>
      <c r="H7" s="26" t="n">
        <v>0.222552614105488</v>
      </c>
    </row>
    <row r="9" ht="24" customHeight="1">
      <c r="B9" s="7" t="inlineStr">
        <is>
          <t>INVESTING ACTIVITIES</t>
        </is>
      </c>
    </row>
    <row r="10" ht="20" customHeight="1">
      <c r="B10" s="20" t="inlineStr">
        <is>
          <t>Purchases of property and equipment (CapEx)</t>
        </is>
      </c>
      <c r="C10" s="21" t="n">
        <v>294</v>
      </c>
      <c r="D10" s="21" t="n">
        <v>301</v>
      </c>
      <c r="E10" s="21" t="n">
        <v>450</v>
      </c>
      <c r="F10" s="21" t="n">
        <v>546</v>
      </c>
      <c r="G10" s="21" t="n">
        <v>636</v>
      </c>
      <c r="H10" s="21" t="n">
        <v>1012</v>
      </c>
    </row>
    <row r="11" ht="20" customHeight="1">
      <c r="B11" s="22" t="inlineStr">
        <is>
          <t>CapEx intensity (% of revenue)</t>
        </is>
      </c>
      <c r="C11" s="26" t="n">
        <v>0.03011369456109802</v>
      </c>
      <c r="D11" s="26" t="n">
        <v>0.01831568699038578</v>
      </c>
      <c r="E11" s="26" t="n">
        <v>0.01906698868692005</v>
      </c>
      <c r="F11" s="26" t="n">
        <v>0.02407407407407407</v>
      </c>
      <c r="G11" s="26" t="n">
        <v>0.02466550319953461</v>
      </c>
      <c r="H11" s="26" t="n">
        <v>0.02921562400762147</v>
      </c>
    </row>
    <row r="12" ht="20" customHeight="1">
      <c r="B12" s="20" t="inlineStr">
        <is>
          <t>Purchases of short-term investments</t>
        </is>
      </c>
      <c r="C12" s="21" t="n">
        <v>850</v>
      </c>
      <c r="D12" s="21" t="n">
        <v>2056</v>
      </c>
      <c r="E12" s="21" t="n">
        <v>2667</v>
      </c>
      <c r="F12" s="21" t="n">
        <v>3722</v>
      </c>
      <c r="G12" s="21" t="n">
        <v>1493</v>
      </c>
      <c r="H12" s="21" t="n">
        <v>5470</v>
      </c>
    </row>
    <row r="13" ht="20" customHeight="1">
      <c r="B13" s="22" t="inlineStr">
        <is>
          <t>Proceeds from maturities of ST investments</t>
        </is>
      </c>
      <c r="C13" s="23" t="n">
        <v>192</v>
      </c>
      <c r="D13" s="23" t="n">
        <v>1678</v>
      </c>
      <c r="E13" s="23" t="n">
        <v>4310</v>
      </c>
      <c r="F13" s="23" t="n">
        <v>2687</v>
      </c>
      <c r="G13" s="23" t="n">
        <v>1416</v>
      </c>
      <c r="H13" s="23" t="n">
        <v>1765</v>
      </c>
    </row>
    <row r="14" ht="20" customHeight="1">
      <c r="B14" s="20" t="inlineStr">
        <is>
          <t>Proceeds from sale of ST investments</t>
        </is>
      </c>
      <c r="C14" s="21" t="n">
        <v>0</v>
      </c>
      <c r="D14" s="21" t="n">
        <v>0</v>
      </c>
      <c r="E14" s="21" t="n">
        <v>0</v>
      </c>
      <c r="F14" s="21" t="n">
        <v>300</v>
      </c>
      <c r="G14" s="21" t="n">
        <v>616</v>
      </c>
      <c r="H14" s="21" t="n">
        <v>80</v>
      </c>
    </row>
    <row r="15" ht="20" customHeight="1">
      <c r="B15" s="22" t="inlineStr">
        <is>
          <t>Acquisitions, net of cash acquired</t>
        </is>
      </c>
      <c r="C15" s="23" t="n">
        <v>0</v>
      </c>
      <c r="D15" s="23" t="n">
        <v>0</v>
      </c>
      <c r="E15" s="23" t="n">
        <v>3026</v>
      </c>
      <c r="F15" s="23" t="n">
        <v>131</v>
      </c>
      <c r="G15" s="23" t="n">
        <v>548</v>
      </c>
      <c r="H15" s="23" t="n">
        <v>1760</v>
      </c>
    </row>
    <row r="16" ht="20" customHeight="1">
      <c r="B16" s="24" t="inlineStr">
        <is>
          <t>Net cash used in investing</t>
        </is>
      </c>
      <c r="C16" s="25" t="n">
        <v>-952</v>
      </c>
      <c r="D16" s="25" t="n">
        <v>-686</v>
      </c>
      <c r="E16" s="25" t="n">
        <v>1999</v>
      </c>
      <c r="F16" s="25" t="n">
        <v>-1423</v>
      </c>
      <c r="G16" s="25" t="n">
        <v>-1101</v>
      </c>
      <c r="H16" s="25" t="n">
        <v>-5533</v>
      </c>
    </row>
    <row r="18" ht="24" customHeight="1">
      <c r="B18" s="7" t="inlineStr">
        <is>
          <t>FINANCING ACTIVITIES</t>
        </is>
      </c>
    </row>
    <row r="19" ht="20" customHeight="1">
      <c r="B19" s="22" t="inlineStr">
        <is>
          <t>Proceeds from debt issuance</t>
        </is>
      </c>
      <c r="C19" s="23" t="n">
        <v>200</v>
      </c>
      <c r="D19" s="23" t="n">
        <v>0</v>
      </c>
      <c r="E19" s="23" t="n">
        <v>991</v>
      </c>
      <c r="F19" s="23" t="n">
        <v>0</v>
      </c>
      <c r="G19" s="23" t="n">
        <v>0</v>
      </c>
      <c r="H19" s="23" t="n">
        <v>2441</v>
      </c>
    </row>
    <row r="20" ht="20" customHeight="1">
      <c r="B20" s="20" t="inlineStr">
        <is>
          <t>Repayment of debt</t>
        </is>
      </c>
      <c r="C20" s="21" t="n">
        <v>-200</v>
      </c>
      <c r="D20" s="21" t="n">
        <v>0</v>
      </c>
      <c r="E20" s="21" t="n">
        <v>-312</v>
      </c>
      <c r="F20" s="21" t="n">
        <v>0</v>
      </c>
      <c r="G20" s="21" t="n">
        <v>-750</v>
      </c>
      <c r="H20" s="21" t="n">
        <v>-950</v>
      </c>
    </row>
    <row r="21" ht="20" customHeight="1">
      <c r="B21" s="22" t="inlineStr">
        <is>
          <t>Stock repurchases (buybacks)</t>
        </is>
      </c>
      <c r="C21" s="23" t="n">
        <v>0</v>
      </c>
      <c r="D21" s="23" t="n">
        <v>-1762</v>
      </c>
      <c r="E21" s="23" t="n">
        <v>-3702</v>
      </c>
      <c r="F21" s="23" t="n">
        <v>-985</v>
      </c>
      <c r="G21" s="23" t="n">
        <v>-862</v>
      </c>
      <c r="H21" s="23" t="n">
        <v>-1316</v>
      </c>
    </row>
    <row r="22" ht="20" customHeight="1">
      <c r="B22" s="20" t="inlineStr">
        <is>
          <t>Stock repurchases (tax withholding)</t>
        </is>
      </c>
      <c r="C22" s="21" t="n">
        <v>-78</v>
      </c>
      <c r="D22" s="21" t="n">
        <v>-237</v>
      </c>
      <c r="E22" s="21" t="n">
        <v>-405</v>
      </c>
      <c r="F22" s="21" t="n">
        <v>-427</v>
      </c>
      <c r="G22" s="21" t="n">
        <v>-728</v>
      </c>
      <c r="H22" s="21" t="n">
        <v>-607</v>
      </c>
    </row>
    <row r="23" ht="20" customHeight="1">
      <c r="B23" s="24" t="inlineStr">
        <is>
          <t>Net cash used in financing</t>
        </is>
      </c>
      <c r="C23" s="25" t="n">
        <v>6</v>
      </c>
      <c r="D23" s="25" t="n">
        <v>-1895</v>
      </c>
      <c r="E23" s="25" t="n">
        <v>-3264</v>
      </c>
      <c r="F23" s="25" t="n">
        <v>-1146</v>
      </c>
      <c r="G23" s="25" t="n">
        <v>-2062</v>
      </c>
      <c r="H23" s="25" t="n">
        <v>-431</v>
      </c>
    </row>
    <row r="25" ht="24" customHeight="1">
      <c r="B25" s="7" t="inlineStr">
        <is>
          <t>FREE CASH FLOW &amp; RETURNS</t>
        </is>
      </c>
    </row>
    <row r="26" ht="20" customHeight="1">
      <c r="B26" s="24" t="inlineStr">
        <is>
          <t>Free cash flow (OCF - CapEx)</t>
        </is>
      </c>
      <c r="C26" s="25" t="n">
        <v>777</v>
      </c>
      <c r="D26" s="25" t="n">
        <v>3220</v>
      </c>
      <c r="E26" s="25" t="n">
        <v>3115</v>
      </c>
      <c r="F26" s="25" t="n">
        <v>1121</v>
      </c>
      <c r="G26" s="25" t="n">
        <v>2405</v>
      </c>
      <c r="H26" s="25" t="n">
        <v>6697</v>
      </c>
    </row>
    <row r="27" ht="20" customHeight="1">
      <c r="B27" s="22" t="inlineStr">
        <is>
          <t>Free cash flow margin (%)</t>
        </is>
      </c>
      <c r="C27" s="26" t="n">
        <v>0.0795861927686162</v>
      </c>
      <c r="D27" s="26" t="n">
        <v>0.19593525617622</v>
      </c>
      <c r="E27" s="26" t="n">
        <v>0.1319859327994576</v>
      </c>
      <c r="F27" s="26" t="n">
        <v>0.04942680776014109</v>
      </c>
      <c r="G27" s="26" t="n">
        <v>0.09327128175295715</v>
      </c>
      <c r="H27" s="26" t="n">
        <v>0.1933369900978666</v>
      </c>
    </row>
    <row r="28" ht="20" customHeight="1">
      <c r="B28" s="20" t="inlineStr">
        <is>
          <t>Free cash flow per share ($)</t>
        </is>
      </c>
      <c r="C28" s="28" t="n">
        <v>0.6437448218724109</v>
      </c>
      <c r="D28" s="28" t="n">
        <v>2.620016273393003</v>
      </c>
      <c r="E28" s="28" t="n">
        <v>1.982813494589434</v>
      </c>
      <c r="F28" s="28" t="n">
        <v>0.6898461538461539</v>
      </c>
      <c r="G28" s="28" t="n">
        <v>1.469150885766646</v>
      </c>
      <c r="H28" s="28" t="n">
        <v>4.093520782396088</v>
      </c>
    </row>
    <row r="29" ht="20" customHeight="1">
      <c r="B29" s="22" t="inlineStr">
        <is>
          <t>FCF conversion (FCF / Net income)</t>
        </is>
      </c>
      <c r="C29" s="32" t="n">
        <v>0.3120481927710844</v>
      </c>
      <c r="D29" s="32" t="n">
        <v>1.018342820999367</v>
      </c>
      <c r="E29" s="32" t="n">
        <v>2.359848484848485</v>
      </c>
      <c r="F29" s="32" t="n">
        <v>1.312646370023419</v>
      </c>
      <c r="G29" s="32" t="n">
        <v>1.465569774527727</v>
      </c>
      <c r="H29" s="32" t="n">
        <v>1.544867358708189</v>
      </c>
    </row>
  </sheetData>
  <mergeCells count="6">
    <mergeCell ref="B9:I9"/>
    <mergeCell ref="B18:I18"/>
    <mergeCell ref="B25:I25"/>
    <mergeCell ref="B2:I2"/>
    <mergeCell ref="B3:I3"/>
    <mergeCell ref="B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7" t="inlineStr">
        <is>
          <t>AMD Segment Reporting — Revenue &amp; Operating Income ($ millions)</t>
        </is>
      </c>
    </row>
    <row r="3" ht="16" customHeight="1">
      <c r="B3" s="18" t="inlineStr">
        <is>
          <t>Source: AMD 10-K filings  |  Restated to current 4-segment structure (Data Center / Client / Gaming / Embedded)</t>
        </is>
      </c>
    </row>
    <row r="4" ht="36" customHeight="1">
      <c r="B4" s="19" t="inlineStr">
        <is>
          <t>Segment</t>
        </is>
      </c>
      <c r="C4" s="19" t="inlineStr">
        <is>
          <t>FY2020
Dec 26, 2020</t>
        </is>
      </c>
      <c r="D4" s="19" t="inlineStr">
        <is>
          <t>FY2021
Dec 25, 2021</t>
        </is>
      </c>
      <c r="E4" s="19" t="inlineStr">
        <is>
          <t>FY2022
Dec 31, 2022</t>
        </is>
      </c>
      <c r="F4" s="19" t="inlineStr">
        <is>
          <t>FY2023
Dec 30, 2023</t>
        </is>
      </c>
      <c r="G4" s="19" t="inlineStr">
        <is>
          <t>FY2024
Dec 28, 2024</t>
        </is>
      </c>
      <c r="H4" s="19" t="inlineStr">
        <is>
          <t>FY2025
Dec 27, 2025</t>
        </is>
      </c>
    </row>
    <row r="5" ht="24" customHeight="1">
      <c r="B5" s="7" t="inlineStr">
        <is>
          <t>SEGMENT NET REVENUE</t>
        </is>
      </c>
    </row>
    <row r="6" ht="20" customHeight="1">
      <c r="B6" s="20" t="inlineStr">
        <is>
          <t>Data Center</t>
        </is>
      </c>
      <c r="C6" s="21" t="n">
        <v>1685</v>
      </c>
      <c r="D6" s="21" t="n">
        <v>3694</v>
      </c>
      <c r="E6" s="21" t="n">
        <v>6043</v>
      </c>
      <c r="F6" s="21" t="n">
        <v>6496</v>
      </c>
      <c r="G6" s="21" t="n">
        <v>12579</v>
      </c>
      <c r="H6" s="21" t="n">
        <v>16635</v>
      </c>
    </row>
    <row r="7" ht="20" customHeight="1">
      <c r="B7" s="22" t="inlineStr">
        <is>
          <t>Client</t>
        </is>
      </c>
      <c r="C7" s="23" t="n">
        <v>5189</v>
      </c>
      <c r="D7" s="23" t="n">
        <v>6887</v>
      </c>
      <c r="E7" s="23" t="n">
        <v>6201</v>
      </c>
      <c r="F7" s="23" t="n">
        <v>4651</v>
      </c>
      <c r="G7" s="23" t="n">
        <v>7054</v>
      </c>
      <c r="H7" s="23" t="n">
        <v>10640</v>
      </c>
    </row>
    <row r="8" ht="20" customHeight="1">
      <c r="B8" s="20" t="inlineStr">
        <is>
          <t>Gaming</t>
        </is>
      </c>
      <c r="C8" s="21" t="n">
        <v>2746</v>
      </c>
      <c r="D8" s="21" t="n">
        <v>5607</v>
      </c>
      <c r="E8" s="21" t="n">
        <v>6805</v>
      </c>
      <c r="F8" s="21" t="n">
        <v>6212</v>
      </c>
      <c r="G8" s="21" t="n">
        <v>2595</v>
      </c>
      <c r="H8" s="21" t="n">
        <v>3910</v>
      </c>
    </row>
    <row r="9" ht="20" customHeight="1">
      <c r="B9" s="22" t="inlineStr">
        <is>
          <t>Embedded</t>
        </is>
      </c>
      <c r="C9" s="23" t="n">
        <v>143</v>
      </c>
      <c r="D9" s="23" t="n">
        <v>246</v>
      </c>
      <c r="E9" s="23" t="n">
        <v>4552</v>
      </c>
      <c r="F9" s="23" t="n">
        <v>5321</v>
      </c>
      <c r="G9" s="23" t="n">
        <v>3557</v>
      </c>
      <c r="H9" s="23" t="n">
        <v>3454</v>
      </c>
    </row>
    <row r="10" ht="20" customHeight="1">
      <c r="B10" s="24" t="inlineStr">
        <is>
          <t>Total net revenue</t>
        </is>
      </c>
      <c r="C10" s="25" t="n">
        <v>9763</v>
      </c>
      <c r="D10" s="25" t="n">
        <v>16434</v>
      </c>
      <c r="E10" s="25" t="n">
        <v>23601</v>
      </c>
      <c r="F10" s="25" t="n">
        <v>22680</v>
      </c>
      <c r="G10" s="25" t="n">
        <v>25785</v>
      </c>
      <c r="H10" s="25" t="n">
        <v>34639</v>
      </c>
    </row>
    <row r="12" ht="24" customHeight="1">
      <c r="B12" s="7" t="inlineStr">
        <is>
          <t>SEGMENT OPERATING INCOME (LOSS)</t>
        </is>
      </c>
    </row>
    <row r="13" ht="20" customHeight="1">
      <c r="B13" s="20" t="inlineStr">
        <is>
          <t>Data Center</t>
        </is>
      </c>
      <c r="C13" s="21" t="n">
        <v>198</v>
      </c>
      <c r="D13" s="21" t="n">
        <v>991</v>
      </c>
      <c r="E13" s="21" t="n">
        <v>1848</v>
      </c>
      <c r="F13" s="21" t="n">
        <v>1267</v>
      </c>
      <c r="G13" s="21" t="n">
        <v>3482</v>
      </c>
      <c r="H13" s="21" t="n">
        <v>3603</v>
      </c>
    </row>
    <row r="14" ht="20" customHeight="1">
      <c r="B14" s="22" t="inlineStr">
        <is>
          <t>Client</t>
        </is>
      </c>
      <c r="C14" s="23" t="n">
        <v>1608</v>
      </c>
      <c r="D14" s="23" t="n">
        <v>2088</v>
      </c>
      <c r="E14" s="23" t="n">
        <v>1190</v>
      </c>
      <c r="F14" s="23" t="n">
        <v>-46</v>
      </c>
      <c r="G14" s="23" t="n">
        <v>897</v>
      </c>
      <c r="H14" s="23" t="n"/>
    </row>
    <row r="15" ht="20" customHeight="1">
      <c r="B15" s="20" t="inlineStr">
        <is>
          <t>Gaming</t>
        </is>
      </c>
      <c r="C15" s="21" t="n">
        <v>-138</v>
      </c>
      <c r="D15" s="21" t="n">
        <v>934</v>
      </c>
      <c r="E15" s="21" t="n">
        <v>953</v>
      </c>
      <c r="F15" s="21" t="n">
        <v>971</v>
      </c>
      <c r="G15" s="21" t="n">
        <v>290</v>
      </c>
      <c r="H15" s="21" t="n"/>
    </row>
    <row r="16" ht="20" customHeight="1">
      <c r="B16" s="22" t="inlineStr">
        <is>
          <t>Client and Gaming (combined)</t>
        </is>
      </c>
      <c r="C16" s="23" t="n">
        <v>1470</v>
      </c>
      <c r="D16" s="23" t="n">
        <v>3022</v>
      </c>
      <c r="E16" s="23" t="n">
        <v>2143</v>
      </c>
      <c r="F16" s="23" t="n">
        <v>925</v>
      </c>
      <c r="G16" s="23" t="n">
        <v>1187</v>
      </c>
      <c r="H16" s="23" t="n">
        <v>2855</v>
      </c>
    </row>
    <row r="17" ht="20" customHeight="1">
      <c r="B17" s="20" t="inlineStr">
        <is>
          <t>Embedded</t>
        </is>
      </c>
      <c r="C17" s="21" t="n">
        <v>-11</v>
      </c>
      <c r="D17" s="21" t="n">
        <v>44</v>
      </c>
      <c r="E17" s="21" t="n">
        <v>2252</v>
      </c>
      <c r="F17" s="21" t="n">
        <v>2628</v>
      </c>
      <c r="G17" s="21" t="n">
        <v>1421</v>
      </c>
      <c r="H17" s="21" t="n">
        <v>1243</v>
      </c>
    </row>
    <row r="18" ht="20" customHeight="1">
      <c r="B18" s="22" t="inlineStr">
        <is>
          <t>All Other</t>
        </is>
      </c>
      <c r="C18" s="23" t="n">
        <v>-288</v>
      </c>
      <c r="D18" s="23" t="n">
        <v>-409</v>
      </c>
      <c r="E18" s="23" t="n">
        <v>-4979</v>
      </c>
      <c r="F18" s="23" t="n">
        <v>-4419</v>
      </c>
      <c r="G18" s="23" t="n">
        <v>-4190</v>
      </c>
      <c r="H18" s="23" t="n">
        <v>-4007</v>
      </c>
    </row>
    <row r="19" ht="20" customHeight="1">
      <c r="B19" s="24" t="inlineStr">
        <is>
          <t>Total operating income</t>
        </is>
      </c>
      <c r="C19" s="25" t="n">
        <v>1369</v>
      </c>
      <c r="D19" s="25" t="n">
        <v>3648</v>
      </c>
      <c r="E19" s="25" t="n">
        <v>1264</v>
      </c>
      <c r="F19" s="25" t="n">
        <v>401</v>
      </c>
      <c r="G19" s="25" t="n">
        <v>1900</v>
      </c>
      <c r="H19" s="25" t="n">
        <v>3694</v>
      </c>
    </row>
    <row r="21" ht="24" customHeight="1">
      <c r="B21" s="7" t="inlineStr">
        <is>
          <t>SEGMENT OPERATING MARGIN (%)</t>
        </is>
      </c>
    </row>
    <row r="22" ht="20" customHeight="1">
      <c r="B22" s="20" t="inlineStr">
        <is>
          <t>Data Center margin</t>
        </is>
      </c>
      <c r="C22" s="27" t="n">
        <v>0.1175074183976261</v>
      </c>
      <c r="D22" s="27" t="n">
        <v>0.2682728749323227</v>
      </c>
      <c r="E22" s="27" t="n">
        <v>0.3058083733245077</v>
      </c>
      <c r="F22" s="27" t="n">
        <v>0.1950431034482759</v>
      </c>
      <c r="G22" s="27" t="n">
        <v>0.276810557278003</v>
      </c>
      <c r="H22" s="27" t="n">
        <v>0.2165915238954013</v>
      </c>
    </row>
    <row r="23" ht="20" customHeight="1">
      <c r="B23" s="22" t="inlineStr">
        <is>
          <t>Client margin</t>
        </is>
      </c>
      <c r="C23" s="26" t="n">
        <v>0.3098862979379456</v>
      </c>
      <c r="D23" s="26" t="n">
        <v>0.3031799041672717</v>
      </c>
      <c r="E23" s="26" t="n">
        <v>0.191904531527173</v>
      </c>
      <c r="F23" s="26" t="n">
        <v>-0.009890346162115675</v>
      </c>
      <c r="G23" s="26" t="n">
        <v>0.1271618939608733</v>
      </c>
      <c r="H23" s="26" t="n"/>
    </row>
    <row r="24" ht="20" customHeight="1">
      <c r="B24" s="20" t="inlineStr">
        <is>
          <t>Gaming margin</t>
        </is>
      </c>
      <c r="C24" s="27" t="n">
        <v>-0.05025491624180627</v>
      </c>
      <c r="D24" s="27" t="n">
        <v>0.166577492420189</v>
      </c>
      <c r="E24" s="27" t="n">
        <v>0.1400440852314475</v>
      </c>
      <c r="F24" s="27" t="n">
        <v>0.1563103670315518</v>
      </c>
      <c r="G24" s="27" t="n">
        <v>0.1117533718689788</v>
      </c>
      <c r="H24" s="27" t="n"/>
    </row>
    <row r="25" ht="20" customHeight="1">
      <c r="B25" s="22" t="inlineStr">
        <is>
          <t>Embedded margin</t>
        </is>
      </c>
      <c r="C25" s="26" t="n">
        <v>-0.07692307692307693</v>
      </c>
      <c r="D25" s="26" t="n">
        <v>0.1788617886178862</v>
      </c>
      <c r="E25" s="26" t="n">
        <v>0.4947275922671353</v>
      </c>
      <c r="F25" s="26" t="n">
        <v>0.493892125540312</v>
      </c>
      <c r="G25" s="26" t="n">
        <v>0.3994939555805454</v>
      </c>
      <c r="H25" s="26" t="n">
        <v>0.3598726114649681</v>
      </c>
    </row>
    <row r="26" ht="20" customHeight="1">
      <c r="B26" s="20" t="inlineStr">
        <is>
          <t>Client and Gaming margin (combined)</t>
        </is>
      </c>
      <c r="C26" s="27" t="n">
        <v>0.1852551984877127</v>
      </c>
      <c r="D26" s="27" t="n">
        <v>0.2418761005282536</v>
      </c>
      <c r="E26" s="27" t="n">
        <v>0.1647701061048747</v>
      </c>
      <c r="F26" s="27" t="n">
        <v>0.08515143146460462</v>
      </c>
      <c r="G26" s="27" t="n">
        <v>0.1230179293191004</v>
      </c>
      <c r="H26" s="27" t="n">
        <v>0.1962199312714777</v>
      </c>
    </row>
  </sheetData>
  <mergeCells count="5">
    <mergeCell ref="B12:I12"/>
    <mergeCell ref="B21:I21"/>
    <mergeCell ref="B2:I2"/>
    <mergeCell ref="B3:I3"/>
    <mergeCell ref="B5:I5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 ht="15" customHeight="1"/>
    <row r="2" ht="32" customHeight="1">
      <c r="B2" s="17" t="inlineStr">
        <is>
          <t>AMD Geographic Revenue ($ millions)</t>
        </is>
      </c>
    </row>
    <row r="3" ht="16" customHeight="1">
      <c r="B3" s="18" t="inlineStr">
        <is>
          <t>Source: AMD 10-K filings  |  Geographic disclosure only available FY2020-FY2022  |  Based on customer billing location</t>
        </is>
      </c>
    </row>
    <row r="4" ht="36" customHeight="1">
      <c r="B4" s="19" t="inlineStr">
        <is>
          <t>Region</t>
        </is>
      </c>
      <c r="C4" s="19" t="inlineStr">
        <is>
          <t>FY2020
Dec 26, 2020</t>
        </is>
      </c>
      <c r="D4" s="19" t="inlineStr">
        <is>
          <t>FY2021
Dec 25, 2021</t>
        </is>
      </c>
      <c r="E4" s="19" t="inlineStr">
        <is>
          <t>FY2022
Dec 31, 2022</t>
        </is>
      </c>
    </row>
    <row r="5" ht="20" customHeight="1">
      <c r="B5" s="20" t="inlineStr">
        <is>
          <t>United States</t>
        </is>
      </c>
      <c r="C5" s="21" t="n">
        <v>2294</v>
      </c>
      <c r="D5" s="21" t="n">
        <v>4656</v>
      </c>
      <c r="E5" s="21" t="n">
        <v>8049</v>
      </c>
    </row>
    <row r="6" ht="20" customHeight="1">
      <c r="B6" s="22" t="inlineStr">
        <is>
          <t>China (incl. Hong Kong)</t>
        </is>
      </c>
      <c r="C6" s="23" t="n">
        <v>2329</v>
      </c>
      <c r="D6" s="23" t="n">
        <v>4096</v>
      </c>
      <c r="E6" s="23" t="n">
        <v>5207</v>
      </c>
    </row>
    <row r="7" ht="20" customHeight="1">
      <c r="B7" s="20" t="inlineStr">
        <is>
          <t>Taiwan</t>
        </is>
      </c>
      <c r="C7" s="21" t="n">
        <v>1187</v>
      </c>
      <c r="D7" s="21" t="n">
        <v>2091</v>
      </c>
      <c r="E7" s="21" t="n">
        <v>2369</v>
      </c>
    </row>
    <row r="8" ht="20" customHeight="1">
      <c r="B8" s="22" t="inlineStr">
        <is>
          <t>Japan</t>
        </is>
      </c>
      <c r="C8" s="23" t="n">
        <v>1033</v>
      </c>
      <c r="D8" s="23" t="n">
        <v>2381</v>
      </c>
      <c r="E8" s="23" t="n">
        <v>4177</v>
      </c>
    </row>
    <row r="9" ht="20" customHeight="1">
      <c r="B9" s="20" t="inlineStr">
        <is>
          <t>Singapore</t>
        </is>
      </c>
      <c r="C9" s="21" t="n">
        <v>1096</v>
      </c>
      <c r="D9" s="21" t="n">
        <v>1389</v>
      </c>
      <c r="E9" s="21" t="n">
        <v>1380</v>
      </c>
    </row>
    <row r="10" ht="20" customHeight="1">
      <c r="B10" s="22" t="inlineStr">
        <is>
          <t>Europe</t>
        </is>
      </c>
      <c r="C10" s="23" t="n">
        <v>1108</v>
      </c>
      <c r="D10" s="23" t="n">
        <v>1249</v>
      </c>
      <c r="E10" s="23" t="n">
        <v>1773</v>
      </c>
    </row>
    <row r="11" ht="20" customHeight="1">
      <c r="B11" s="20" t="inlineStr">
        <is>
          <t>Other countries</t>
        </is>
      </c>
      <c r="C11" s="21" t="n">
        <v>716</v>
      </c>
      <c r="D11" s="21" t="n">
        <v>572</v>
      </c>
      <c r="E11" s="21" t="n">
        <v>646</v>
      </c>
    </row>
    <row r="12" ht="20" customHeight="1">
      <c r="B12" s="24" t="inlineStr">
        <is>
          <t>Total</t>
        </is>
      </c>
      <c r="C12" s="25" t="n">
        <v>9763</v>
      </c>
      <c r="D12" s="25" t="n">
        <v>16434</v>
      </c>
      <c r="E12" s="25" t="n">
        <v>23601</v>
      </c>
    </row>
    <row r="14" ht="24" customHeight="1">
      <c r="B14" s="7" t="inlineStr">
        <is>
          <t>GEOGRAPHIC MIX (% of total)</t>
        </is>
      </c>
    </row>
    <row r="15" ht="20" customHeight="1">
      <c r="B15" s="20" t="inlineStr">
        <is>
          <t>United States</t>
        </is>
      </c>
      <c r="C15" s="27" t="n">
        <v>0.2349687596025812</v>
      </c>
      <c r="D15" s="27" t="n">
        <v>0.2833150784958014</v>
      </c>
      <c r="E15" s="27" t="n">
        <v>0.3410448709800432</v>
      </c>
    </row>
    <row r="16" ht="20" customHeight="1">
      <c r="B16" s="22" t="inlineStr">
        <is>
          <t>China (incl. Hong Kong)</t>
        </is>
      </c>
      <c r="C16" s="26" t="n">
        <v>0.2385537232408071</v>
      </c>
      <c r="D16" s="26" t="n">
        <v>0.2492393817695022</v>
      </c>
      <c r="E16" s="26" t="n">
        <v>0.2206262446506504</v>
      </c>
    </row>
    <row r="17" ht="20" customHeight="1">
      <c r="B17" s="20" t="inlineStr">
        <is>
          <t>Taiwan</t>
        </is>
      </c>
      <c r="C17" s="27" t="n">
        <v>0.1215814811021202</v>
      </c>
      <c r="D17" s="27" t="n">
        <v>0.1272362175976634</v>
      </c>
      <c r="E17" s="27" t="n">
        <v>0.1003771026651413</v>
      </c>
    </row>
    <row r="18" ht="20" customHeight="1">
      <c r="B18" s="22" t="inlineStr">
        <is>
          <t>Japan</t>
        </is>
      </c>
      <c r="C18" s="26" t="n">
        <v>0.105807641093926</v>
      </c>
      <c r="D18" s="26" t="n">
        <v>0.1448825605452111</v>
      </c>
      <c r="E18" s="26" t="n">
        <v>0.176984026100589</v>
      </c>
    </row>
    <row r="19" ht="20" customHeight="1">
      <c r="B19" s="20" t="inlineStr">
        <is>
          <t>Singapore</t>
        </is>
      </c>
      <c r="C19" s="27" t="n">
        <v>0.1122605756427328</v>
      </c>
      <c r="D19" s="27" t="n">
        <v>0.08451989777290982</v>
      </c>
      <c r="E19" s="27" t="n">
        <v>0.05847209863988814</v>
      </c>
    </row>
    <row r="20" ht="20" customHeight="1">
      <c r="B20" s="22" t="inlineStr">
        <is>
          <t>Europe</t>
        </is>
      </c>
      <c r="C20" s="26" t="n">
        <v>0.1134897060329817</v>
      </c>
      <c r="D20" s="26" t="n">
        <v>0.07600097359133504</v>
      </c>
      <c r="E20" s="26" t="n">
        <v>0.07512393542646498</v>
      </c>
    </row>
    <row r="21" ht="20" customHeight="1">
      <c r="B21" s="20" t="inlineStr">
        <is>
          <t>Other countries</t>
        </is>
      </c>
      <c r="C21" s="27" t="n">
        <v>0.07333811328485097</v>
      </c>
      <c r="D21" s="27" t="n">
        <v>0.03480589022757698</v>
      </c>
      <c r="E21" s="27" t="n">
        <v>0.027371721537223</v>
      </c>
    </row>
  </sheetData>
  <mergeCells count="3">
    <mergeCell ref="B2:F2"/>
    <mergeCell ref="B3:F3"/>
    <mergeCell ref="B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7" t="inlineStr">
        <is>
          <t>AMD Financial KPI Dashboard (FY2020-FY2025)</t>
        </is>
      </c>
    </row>
    <row r="3" ht="16" customHeight="1">
      <c r="B3" s="18" t="inlineStr">
        <is>
          <t>All KPIs calculated from raw 10-K data using formulas  |  5-year CAGR shown where applicable</t>
        </is>
      </c>
    </row>
    <row r="4" ht="36" customHeight="1">
      <c r="B4" s="19" t="inlineStr">
        <is>
          <t>KPI</t>
        </is>
      </c>
      <c r="C4" s="19" t="inlineStr">
        <is>
          <t>FY2020
Dec 26, 2020</t>
        </is>
      </c>
      <c r="D4" s="19" t="inlineStr">
        <is>
          <t>FY2021
Dec 25, 2021</t>
        </is>
      </c>
      <c r="E4" s="19" t="inlineStr">
        <is>
          <t>FY2022
Dec 31, 2022</t>
        </is>
      </c>
      <c r="F4" s="19" t="inlineStr">
        <is>
          <t>FY2023
Dec 30, 2023</t>
        </is>
      </c>
      <c r="G4" s="19" t="inlineStr">
        <is>
          <t>FY2024
Dec 28, 2024</t>
        </is>
      </c>
      <c r="H4" s="19" t="inlineStr">
        <is>
          <t>FY2025
Dec 27, 2025</t>
        </is>
      </c>
    </row>
    <row r="5" ht="24" customHeight="1">
      <c r="B5" s="7" t="inlineStr">
        <is>
          <t>PROFITABILITY MARGINS</t>
        </is>
      </c>
    </row>
    <row r="6" ht="20" customHeight="1">
      <c r="B6" s="20" t="inlineStr">
        <is>
          <t>Gross margin</t>
        </is>
      </c>
      <c r="C6" s="27" t="n">
        <v>0.4452524838676636</v>
      </c>
      <c r="D6" s="27" t="n">
        <v>0.4824753559693319</v>
      </c>
      <c r="E6" s="27" t="n">
        <v>0.4492606245498072</v>
      </c>
      <c r="F6" s="27" t="n">
        <v>0.4611992945326279</v>
      </c>
      <c r="G6" s="27" t="n">
        <v>0.4935039751793678</v>
      </c>
      <c r="H6" s="27" t="n">
        <v>0.4951644100580271</v>
      </c>
    </row>
    <row r="7" ht="20" customHeight="1">
      <c r="B7" s="22" t="inlineStr">
        <is>
          <t>Operating margin</t>
        </is>
      </c>
      <c r="C7" s="26" t="n">
        <v>0.1402232920208952</v>
      </c>
      <c r="D7" s="26" t="n">
        <v>0.2219788243884629</v>
      </c>
      <c r="E7" s="26" t="n">
        <v>0.05355705266725986</v>
      </c>
      <c r="F7" s="26" t="n">
        <v>0.01768077601410935</v>
      </c>
      <c r="G7" s="26" t="n">
        <v>0.0736862516967229</v>
      </c>
      <c r="H7" s="26" t="n">
        <v>0.106642801466555</v>
      </c>
    </row>
    <row r="8" ht="20" customHeight="1">
      <c r="B8" s="20" t="inlineStr">
        <is>
          <t>Net profit margin</t>
        </is>
      </c>
      <c r="C8" s="27" t="n">
        <v>0.2550445559766465</v>
      </c>
      <c r="D8" s="27" t="n">
        <v>0.1924059875867105</v>
      </c>
      <c r="E8" s="27" t="n">
        <v>0.05592983348163214</v>
      </c>
      <c r="F8" s="27" t="n">
        <v>0.03765432098765432</v>
      </c>
      <c r="G8" s="27" t="n">
        <v>0.06364165212332752</v>
      </c>
      <c r="H8" s="27" t="n">
        <v>0.1251479546176275</v>
      </c>
    </row>
    <row r="9" ht="20" customHeight="1">
      <c r="B9" s="22" t="inlineStr">
        <is>
          <t>R&amp;D intensity (R&amp;D / Revenue)</t>
        </is>
      </c>
      <c r="C9" s="26" t="n">
        <v>0.2031137969886306</v>
      </c>
      <c r="D9" s="26" t="n">
        <v>0.1731167092612876</v>
      </c>
      <c r="E9" s="26" t="n">
        <v>0.2120672852845218</v>
      </c>
      <c r="F9" s="26" t="n">
        <v>0.2589065255731922</v>
      </c>
      <c r="G9" s="26" t="n">
        <v>0.2503781268179174</v>
      </c>
      <c r="H9" s="26" t="n">
        <v>0.2335806460925546</v>
      </c>
    </row>
    <row r="10" ht="20" customHeight="1">
      <c r="B10" s="20" t="inlineStr">
        <is>
          <t>Effective tax rate</t>
        </is>
      </c>
      <c r="C10" s="27" t="n">
        <v>-0.9490196078431372</v>
      </c>
      <c r="D10" s="27" t="n">
        <v>0.1398201144726083</v>
      </c>
      <c r="E10" s="27" t="n">
        <v>-0.1030405405405405</v>
      </c>
      <c r="F10" s="27" t="n">
        <v>-0.7032520325203252</v>
      </c>
      <c r="G10" s="27" t="n">
        <v>0.191553544494721</v>
      </c>
      <c r="H10" s="27" t="n">
        <v>-0.0248792270531401</v>
      </c>
    </row>
    <row r="12" ht="24" customHeight="1">
      <c r="B12" s="7" t="inlineStr">
        <is>
          <t>CASH CONVERSION CYCLE (days)</t>
        </is>
      </c>
    </row>
    <row r="13" ht="20" customHeight="1">
      <c r="B13" s="22" t="inlineStr">
        <is>
          <t>DSO — Days Sales Outstanding</t>
        </is>
      </c>
      <c r="C13" s="33" t="n">
        <v>77.23957799856601</v>
      </c>
      <c r="D13" s="33" t="n">
        <v>60.1004016064257</v>
      </c>
      <c r="E13" s="33" t="n">
        <v>63.81043176136604</v>
      </c>
      <c r="F13" s="33" t="n">
        <v>69.57208994708995</v>
      </c>
      <c r="G13" s="33" t="n">
        <v>87.65095986038394</v>
      </c>
      <c r="H13" s="33" t="n">
        <v>66.54276971044199</v>
      </c>
    </row>
    <row r="14" ht="20" customHeight="1">
      <c r="B14" s="20" t="inlineStr">
        <is>
          <t>DIO — Days Inventory Outstanding</t>
        </is>
      </c>
      <c r="C14" s="34" t="n">
        <v>94.28268094534712</v>
      </c>
      <c r="D14" s="34" t="n">
        <v>83.90064667842445</v>
      </c>
      <c r="E14" s="34" t="n">
        <v>119.1701298701299</v>
      </c>
      <c r="F14" s="34" t="n">
        <v>140.8153041319383</v>
      </c>
      <c r="G14" s="34" t="n">
        <v>172.7678718837709</v>
      </c>
      <c r="H14" s="34" t="n">
        <v>175.668449197861</v>
      </c>
    </row>
    <row r="15" ht="20" customHeight="1">
      <c r="B15" s="22" t="inlineStr">
        <is>
          <t>DPO — Days Payable Outstanding</t>
        </is>
      </c>
      <c r="C15" s="33" t="n">
        <v>31.53988183161004</v>
      </c>
      <c r="D15" s="33" t="n">
        <v>56.69194591416814</v>
      </c>
      <c r="E15" s="33" t="n">
        <v>78.78311688311688</v>
      </c>
      <c r="F15" s="33" t="n">
        <v>66.50780280191523</v>
      </c>
      <c r="G15" s="33" t="n">
        <v>59.95955093280502</v>
      </c>
      <c r="H15" s="33" t="n">
        <v>64.96627369956246</v>
      </c>
    </row>
    <row r="16" ht="20" customHeight="1">
      <c r="B16" s="20" t="inlineStr">
        <is>
          <t>Cash Conversion Cycle (DSO + DIO - DPO)</t>
        </is>
      </c>
      <c r="C16" s="34" t="n">
        <v>139.9823771123031</v>
      </c>
      <c r="D16" s="34" t="n">
        <v>87.30910237068201</v>
      </c>
      <c r="E16" s="34" t="n">
        <v>104.197444748379</v>
      </c>
      <c r="F16" s="34" t="n">
        <v>143.879591277113</v>
      </c>
      <c r="G16" s="34" t="n">
        <v>200.4592808113497</v>
      </c>
      <c r="H16" s="34" t="n">
        <v>177.2449452087405</v>
      </c>
    </row>
    <row r="18" ht="24" customHeight="1">
      <c r="B18" s="7" t="inlineStr">
        <is>
          <t>RETURN METRICS</t>
        </is>
      </c>
    </row>
    <row r="19" ht="20" customHeight="1">
      <c r="B19" s="22" t="inlineStr">
        <is>
          <t>ROE — Return on Equity</t>
        </is>
      </c>
      <c r="C19" s="26" t="n">
        <v>0.4265890011992462</v>
      </c>
      <c r="D19" s="26" t="n">
        <v>0.4217687074829932</v>
      </c>
      <c r="E19" s="26" t="n">
        <v>0.02410958904109589</v>
      </c>
      <c r="F19" s="26" t="n">
        <v>0.0152794675445502</v>
      </c>
      <c r="G19" s="26" t="n">
        <v>0.02850541967759867</v>
      </c>
      <c r="H19" s="26" t="n">
        <v>0.06881061604152447</v>
      </c>
    </row>
    <row r="20" ht="20" customHeight="1">
      <c r="B20" s="20" t="inlineStr">
        <is>
          <t>ROA — Return on Assets</t>
        </is>
      </c>
      <c r="C20" s="27" t="n">
        <v>0.2778397679089489</v>
      </c>
      <c r="D20" s="27" t="n">
        <v>0.254609871970368</v>
      </c>
      <c r="E20" s="27" t="n">
        <v>0.01953240603728914</v>
      </c>
      <c r="F20" s="27" t="n">
        <v>0.01258009869632467</v>
      </c>
      <c r="G20" s="27" t="n">
        <v>0.02370496634212579</v>
      </c>
      <c r="H20" s="27" t="n">
        <v>0.05635285859137353</v>
      </c>
    </row>
    <row r="21" ht="20" customHeight="1">
      <c r="B21" s="22" t="inlineStr">
        <is>
          <t>ROIC — Return on Invested Capital</t>
        </is>
      </c>
      <c r="C21" s="26" t="n">
        <v>0.2860175393345371</v>
      </c>
      <c r="D21" s="26" t="n">
        <v>0.7032079961922895</v>
      </c>
      <c r="E21" s="26" t="n">
        <v>0.01993380320080994</v>
      </c>
      <c r="F21" s="26" t="n">
        <v>0.006176621598493925</v>
      </c>
      <c r="G21" s="26" t="n">
        <v>0.02841737910150119</v>
      </c>
      <c r="H21" s="26" t="n">
        <v>0.05374876502182544</v>
      </c>
    </row>
    <row r="23" ht="24" customHeight="1">
      <c r="B23" s="7" t="inlineStr">
        <is>
          <t>LIQUIDITY &amp; LEVERAGE</t>
        </is>
      </c>
    </row>
    <row r="24" ht="20" customHeight="1">
      <c r="B24" s="20" t="inlineStr">
        <is>
          <t>Current ratio</t>
        </is>
      </c>
      <c r="C24" s="35" t="n">
        <v>2.541580471659081</v>
      </c>
      <c r="D24" s="35" t="n">
        <v>2.024292452830189</v>
      </c>
      <c r="E24" s="35" t="n">
        <v>2.358140995446695</v>
      </c>
      <c r="F24" s="35" t="n">
        <v>2.506802212587831</v>
      </c>
      <c r="G24" s="35" t="n">
        <v>2.61626150254086</v>
      </c>
      <c r="H24" s="35" t="n">
        <v>2.850026441036489</v>
      </c>
    </row>
    <row r="25" ht="20" customHeight="1">
      <c r="B25" s="22" t="inlineStr">
        <is>
          <t>Debt-to-Equity</t>
        </is>
      </c>
      <c r="C25" s="32" t="n">
        <v>0.0565358917252013</v>
      </c>
      <c r="D25" s="32" t="n">
        <v>0.041750033346672</v>
      </c>
      <c r="E25" s="32" t="n">
        <v>0.04505936073059361</v>
      </c>
      <c r="F25" s="32" t="n">
        <v>0.04415658770485937</v>
      </c>
      <c r="G25" s="32" t="n">
        <v>0.02989508060033352</v>
      </c>
      <c r="H25" s="32" t="n">
        <v>0.05114366894712614</v>
      </c>
    </row>
    <row r="26" ht="20" customHeight="1">
      <c r="B26" s="20" t="inlineStr">
        <is>
          <t>Net debt ($M)</t>
        </is>
      </c>
      <c r="C26" s="21" t="n">
        <v>-1960</v>
      </c>
      <c r="D26" s="21" t="n">
        <v>-3295</v>
      </c>
      <c r="E26" s="21" t="n">
        <v>-3388</v>
      </c>
      <c r="F26" s="21" t="n">
        <v>-3305</v>
      </c>
      <c r="G26" s="21" t="n">
        <v>-3411</v>
      </c>
      <c r="H26" s="21" t="n">
        <v>-7330</v>
      </c>
    </row>
    <row r="28" ht="24" customHeight="1">
      <c r="B28" s="7" t="inlineStr">
        <is>
          <t>PER-SHARE DATA</t>
        </is>
      </c>
    </row>
    <row r="29" ht="20" customHeight="1">
      <c r="B29" s="22" t="inlineStr">
        <is>
          <t>EPS diluted ($)</t>
        </is>
      </c>
      <c r="C29" s="29" t="n">
        <v>2.06</v>
      </c>
      <c r="D29" s="29" t="n">
        <v>2.57</v>
      </c>
      <c r="E29" s="29" t="n">
        <v>0.84</v>
      </c>
      <c r="F29" s="29" t="n">
        <v>0.53</v>
      </c>
      <c r="G29" s="29" t="n">
        <v>1</v>
      </c>
      <c r="H29" s="29" t="n">
        <v>2.65</v>
      </c>
    </row>
    <row r="30" ht="20" customHeight="1">
      <c r="B30" s="20" t="inlineStr">
        <is>
          <t>Book value per share ($)</t>
        </is>
      </c>
      <c r="C30" s="28" t="n">
        <v>4.835956917978459</v>
      </c>
      <c r="D30" s="28" t="n">
        <v>6.100081366965012</v>
      </c>
      <c r="E30" s="28" t="n">
        <v>34.85041374920433</v>
      </c>
      <c r="F30" s="28" t="n">
        <v>34.39507692307692</v>
      </c>
      <c r="G30" s="28" t="n">
        <v>35.16676847892487</v>
      </c>
      <c r="H30" s="28" t="n">
        <v>38.50794621026895</v>
      </c>
    </row>
    <row r="31" ht="20" customHeight="1">
      <c r="B31" s="22" t="inlineStr">
        <is>
          <t>Free cash flow per share ($)</t>
        </is>
      </c>
      <c r="C31" s="29" t="n">
        <v>0.6437448218724109</v>
      </c>
      <c r="D31" s="29" t="n">
        <v>2.620016273393003</v>
      </c>
      <c r="E31" s="29" t="n">
        <v>1.982813494589434</v>
      </c>
      <c r="F31" s="29" t="n">
        <v>0.6898461538461539</v>
      </c>
      <c r="G31" s="29" t="n">
        <v>1.469150885766646</v>
      </c>
      <c r="H31" s="29" t="n">
        <v>4.093520782396088</v>
      </c>
    </row>
    <row r="32" ht="20" customHeight="1">
      <c r="B32" s="20" t="inlineStr">
        <is>
          <t>Revenue per share ($)</t>
        </is>
      </c>
      <c r="C32" s="28" t="n">
        <v>8.088649544324772</v>
      </c>
      <c r="D32" s="28" t="n">
        <v>13.37184703010578</v>
      </c>
      <c r="E32" s="28" t="n">
        <v>15.02291534054742</v>
      </c>
      <c r="F32" s="28" t="n">
        <v>13.95692307692308</v>
      </c>
      <c r="G32" s="28" t="n">
        <v>15.75137446548564</v>
      </c>
      <c r="H32" s="28" t="n">
        <v>21.17298288508557</v>
      </c>
    </row>
    <row r="34" ht="24" customHeight="1">
      <c r="B34" s="7" t="inlineStr">
        <is>
          <t>GROWTH METRICS (YoY %)</t>
        </is>
      </c>
    </row>
    <row r="35" ht="20" customHeight="1">
      <c r="B35" s="22" t="inlineStr">
        <is>
          <t>Revenue YoY growth</t>
        </is>
      </c>
      <c r="C35" s="26" t="n"/>
      <c r="D35" s="26" t="n">
        <v>0.683294069445867</v>
      </c>
      <c r="E35" s="26" t="n">
        <v>0.4361080686381891</v>
      </c>
      <c r="F35" s="26" t="n">
        <v>-0.03902377017922969</v>
      </c>
      <c r="G35" s="26" t="n">
        <v>0.1369047619047619</v>
      </c>
      <c r="H35" s="26" t="n">
        <v>0.3433779329067287</v>
      </c>
    </row>
    <row r="36" ht="20" customHeight="1">
      <c r="B36" s="20" t="inlineStr">
        <is>
          <t>Gross profit YoY growth</t>
        </is>
      </c>
      <c r="C36" s="27" t="n"/>
      <c r="D36" s="27" t="n">
        <v>0.8240165631469979</v>
      </c>
      <c r="E36" s="27" t="n">
        <v>0.3372430319081852</v>
      </c>
      <c r="F36" s="27" t="n">
        <v>-0.01348674903329246</v>
      </c>
      <c r="G36" s="27" t="n">
        <v>0.2165391969407266</v>
      </c>
      <c r="H36" s="27" t="n">
        <v>0.3478978388998035</v>
      </c>
    </row>
    <row r="37" ht="20" customHeight="1">
      <c r="B37" s="22" t="inlineStr">
        <is>
          <t>Operating income YoY growth</t>
        </is>
      </c>
      <c r="C37" s="26" t="n"/>
      <c r="D37" s="26" t="n">
        <v>1.664718772826881</v>
      </c>
      <c r="E37" s="26" t="n">
        <v>-0.6535087719298246</v>
      </c>
      <c r="F37" s="26" t="n">
        <v>-0.682753164556962</v>
      </c>
      <c r="G37" s="26" t="n">
        <v>3.738154613466334</v>
      </c>
      <c r="H37" s="26" t="n">
        <v>0.9442105263157895</v>
      </c>
    </row>
    <row r="38" ht="20" customHeight="1">
      <c r="B38" s="20" t="inlineStr">
        <is>
          <t>Net income YoY growth</t>
        </is>
      </c>
      <c r="C38" s="27" t="n"/>
      <c r="D38" s="27" t="n">
        <v>0.2698795180722892</v>
      </c>
      <c r="E38" s="27" t="n">
        <v>-0.5825426944971537</v>
      </c>
      <c r="F38" s="27" t="n">
        <v>-0.353030303030303</v>
      </c>
      <c r="G38" s="27" t="n">
        <v>0.9215456674473068</v>
      </c>
      <c r="H38" s="27" t="n">
        <v>1.641681901279707</v>
      </c>
    </row>
    <row r="39" ht="20" customHeight="1">
      <c r="B39" s="22" t="inlineStr">
        <is>
          <t>EPS diluted YoY growth</t>
        </is>
      </c>
      <c r="C39" s="26" t="n"/>
      <c r="D39" s="26" t="n">
        <v>0.2475728155339805</v>
      </c>
      <c r="E39" s="26" t="n">
        <v>-0.6731517509727627</v>
      </c>
      <c r="F39" s="26" t="n">
        <v>-0.369047619047619</v>
      </c>
      <c r="G39" s="26" t="n">
        <v>0.8867924528301886</v>
      </c>
      <c r="H39" s="26" t="n">
        <v>1.65</v>
      </c>
    </row>
    <row r="40" ht="20" customHeight="1">
      <c r="B40" s="20" t="inlineStr">
        <is>
          <t>R&amp;D YoY growth</t>
        </is>
      </c>
      <c r="C40" s="27" t="n"/>
      <c r="D40" s="27" t="n">
        <v>0.4346949067070096</v>
      </c>
      <c r="E40" s="27" t="n">
        <v>0.7592267135325131</v>
      </c>
      <c r="F40" s="27" t="n">
        <v>0.1732267732267732</v>
      </c>
      <c r="G40" s="27" t="n">
        <v>0.0994550408719346</v>
      </c>
      <c r="H40" s="27" t="n">
        <v>0.2532527881040892</v>
      </c>
    </row>
    <row r="41" ht="20" customHeight="1">
      <c r="B41" s="22" t="inlineStr">
        <is>
          <t>CapEx YoY growth</t>
        </is>
      </c>
      <c r="C41" s="26" t="n"/>
      <c r="D41" s="26" t="n">
        <v>0.02380952380952381</v>
      </c>
      <c r="E41" s="26" t="n">
        <v>0.4950166112956811</v>
      </c>
      <c r="F41" s="26" t="n">
        <v>0.2133333333333333</v>
      </c>
      <c r="G41" s="26" t="n">
        <v>0.1648351648351648</v>
      </c>
      <c r="H41" s="26" t="n">
        <v>0.5911949685534591</v>
      </c>
    </row>
    <row r="43" ht="24" customHeight="1">
      <c r="B43" s="7" t="inlineStr">
        <is>
          <t>CASH FLOW METRICS</t>
        </is>
      </c>
    </row>
    <row r="44" ht="20" customHeight="1">
      <c r="B44" s="20" t="inlineStr">
        <is>
          <t>Operating cash flow margin</t>
        </is>
      </c>
      <c r="C44" s="27" t="n">
        <v>0.1096998873297142</v>
      </c>
      <c r="D44" s="27" t="n">
        <v>0.2142509431666058</v>
      </c>
      <c r="E44" s="27" t="n">
        <v>0.1510529214863777</v>
      </c>
      <c r="F44" s="27" t="n">
        <v>0.07350088183421517</v>
      </c>
      <c r="G44" s="27" t="n">
        <v>0.1179367849524918</v>
      </c>
      <c r="H44" s="27" t="n">
        <v>0.222552614105488</v>
      </c>
    </row>
    <row r="45" ht="20" customHeight="1">
      <c r="B45" s="22" t="inlineStr">
        <is>
          <t>Free cash flow margin</t>
        </is>
      </c>
      <c r="C45" s="26" t="n">
        <v>0.0795861927686162</v>
      </c>
      <c r="D45" s="26" t="n">
        <v>0.19593525617622</v>
      </c>
      <c r="E45" s="26" t="n">
        <v>0.1319859327994576</v>
      </c>
      <c r="F45" s="26" t="n">
        <v>0.04942680776014109</v>
      </c>
      <c r="G45" s="26" t="n">
        <v>0.09327128175295715</v>
      </c>
      <c r="H45" s="26" t="n">
        <v>0.1933369900978666</v>
      </c>
    </row>
    <row r="46" ht="20" customHeight="1">
      <c r="B46" s="20" t="inlineStr">
        <is>
          <t>CapEx intensity (CapEx / Revenue)</t>
        </is>
      </c>
      <c r="C46" s="27" t="n">
        <v>0.03011369456109802</v>
      </c>
      <c r="D46" s="27" t="n">
        <v>0.01831568699038578</v>
      </c>
      <c r="E46" s="27" t="n">
        <v>0.01906698868692005</v>
      </c>
      <c r="F46" s="27" t="n">
        <v>0.02407407407407407</v>
      </c>
      <c r="G46" s="27" t="n">
        <v>0.02466550319953461</v>
      </c>
      <c r="H46" s="27" t="n">
        <v>0.02921562400762147</v>
      </c>
    </row>
    <row r="47" ht="20" customHeight="1">
      <c r="B47" s="22" t="inlineStr">
        <is>
          <t>FCF conversion (FCF / Net income)</t>
        </is>
      </c>
      <c r="C47" s="32" t="n">
        <v>0.3120481927710844</v>
      </c>
      <c r="D47" s="32" t="n">
        <v>1.018342820999367</v>
      </c>
      <c r="E47" s="32" t="n">
        <v>2.359848484848485</v>
      </c>
      <c r="F47" s="32" t="n">
        <v>1.312646370023419</v>
      </c>
      <c r="G47" s="32" t="n">
        <v>1.465569774527727</v>
      </c>
      <c r="H47" s="32" t="n">
        <v>1.544867358708189</v>
      </c>
    </row>
    <row r="49" ht="24" customHeight="1">
      <c r="B49" s="7" t="inlineStr">
        <is>
          <t>5-YEAR CAGR SUMMARY (FY2020 → FY2025)</t>
        </is>
      </c>
    </row>
    <row r="50" ht="20" customHeight="1">
      <c r="B50" s="20" t="inlineStr">
        <is>
          <t>Revenue CAGR</t>
        </is>
      </c>
      <c r="C50" s="36" t="n">
        <v>0.2882389065515516</v>
      </c>
      <c r="D50" s="14" t="n"/>
      <c r="E50" s="14" t="n"/>
      <c r="F50" s="14" t="n"/>
      <c r="G50" s="14" t="n"/>
      <c r="H50" s="14" t="n"/>
      <c r="I50" s="14" t="n"/>
    </row>
    <row r="51" ht="20" customHeight="1">
      <c r="B51" s="22" t="inlineStr">
        <is>
          <t>Operating Income CAGR</t>
        </is>
      </c>
      <c r="C51" s="37" t="n">
        <v>0.2196035746067189</v>
      </c>
      <c r="D51" s="11" t="n"/>
      <c r="E51" s="11" t="n"/>
      <c r="F51" s="11" t="n"/>
      <c r="G51" s="11" t="n"/>
      <c r="H51" s="11" t="n"/>
      <c r="I51" s="11" t="n"/>
    </row>
    <row r="52" ht="20" customHeight="1">
      <c r="B52" s="20" t="inlineStr">
        <is>
          <t>Net Income CAGR</t>
        </is>
      </c>
      <c r="C52" s="36" t="n">
        <v>0.1172695197790607</v>
      </c>
      <c r="D52" s="14" t="n"/>
      <c r="E52" s="14" t="n"/>
      <c r="F52" s="14" t="n"/>
      <c r="G52" s="14" t="n"/>
      <c r="H52" s="14" t="n"/>
      <c r="I52" s="14" t="n"/>
    </row>
    <row r="53" ht="20" customHeight="1">
      <c r="B53" s="22" t="inlineStr">
        <is>
          <t>EPS CAGR</t>
        </is>
      </c>
      <c r="C53" s="37" t="n">
        <v>0.05166090787593225</v>
      </c>
      <c r="D53" s="11" t="n"/>
      <c r="E53" s="11" t="n"/>
      <c r="F53" s="11" t="n"/>
      <c r="G53" s="11" t="n"/>
      <c r="H53" s="11" t="n"/>
      <c r="I53" s="11" t="n"/>
    </row>
    <row r="54" ht="20" customHeight="1">
      <c r="B54" s="20" t="inlineStr">
        <is>
          <t>R&amp;D CAGR</t>
        </is>
      </c>
      <c r="C54" s="36" t="n">
        <v>0.3247560067836599</v>
      </c>
      <c r="D54" s="14" t="n"/>
      <c r="E54" s="14" t="n"/>
      <c r="F54" s="14" t="n"/>
      <c r="G54" s="14" t="n"/>
      <c r="H54" s="14" t="n"/>
      <c r="I54" s="14" t="n"/>
    </row>
  </sheetData>
  <mergeCells count="10">
    <mergeCell ref="B12:I12"/>
    <mergeCell ref="B18:I18"/>
    <mergeCell ref="B2:I2"/>
    <mergeCell ref="B34:I34"/>
    <mergeCell ref="B28:I28"/>
    <mergeCell ref="B3:I3"/>
    <mergeCell ref="B5:I5"/>
    <mergeCell ref="B23:I23"/>
    <mergeCell ref="B49:I49"/>
    <mergeCell ref="B43:I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G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</cols>
  <sheetData>
    <row r="2" ht="8" customHeight="1"/>
    <row r="3" ht="32" customHeight="1">
      <c r="B3" s="38" t="inlineStr">
        <is>
          <t>AMD Valuation &amp; Forward View</t>
        </is>
      </c>
    </row>
    <row r="4" ht="20" customHeight="1">
      <c r="B4" s="39" t="inlineStr">
        <is>
          <t>Independent DCF, reverse DCF, peer multiples &amp; sensitivity  |  Source: AMD_Standalone_Research_Note_2026-08-06</t>
        </is>
      </c>
    </row>
    <row r="5" ht="4" customHeight="1">
      <c r="B5" s="3" t="n"/>
      <c r="C5" s="3" t="n"/>
      <c r="D5" s="3" t="n"/>
      <c r="E5" s="3" t="n"/>
      <c r="F5" s="3" t="n"/>
      <c r="G5" s="3" t="n"/>
    </row>
    <row r="7" ht="18" customHeight="1">
      <c r="B7" s="40" t="inlineStr">
        <is>
          <t>Rating</t>
        </is>
      </c>
      <c r="C7" s="40" t="inlineStr">
        <is>
          <t>Price Target</t>
        </is>
      </c>
      <c r="D7" s="40" t="inlineStr">
        <is>
          <t>Implied Downside</t>
        </is>
      </c>
      <c r="E7" s="40" t="inlineStr">
        <is>
          <t>Reference Date</t>
        </is>
      </c>
    </row>
    <row r="8" ht="26" customHeight="1">
      <c r="B8" s="41" t="inlineStr">
        <is>
          <t>SELL</t>
        </is>
      </c>
      <c r="C8" s="42" t="inlineStr">
        <is>
          <t>$58 – $90</t>
        </is>
      </c>
      <c r="D8" s="41" t="inlineStr">
        <is>
          <t>(81%) – (88%)</t>
        </is>
      </c>
      <c r="E8" s="43" t="inlineStr">
        <is>
          <t>5 Aug 2026</t>
        </is>
      </c>
    </row>
    <row r="9" ht="22" customHeight="1">
      <c r="B9" s="44" t="inlineStr">
        <is>
          <t>At $480 market price</t>
        </is>
      </c>
      <c r="C9" s="44" t="inlineStr">
        <is>
          <t>Mid-point ~$74</t>
        </is>
      </c>
      <c r="D9" s="44" t="inlineStr">
        <is>
          <t>vs. $480 close</t>
        </is>
      </c>
      <c r="E9" s="44" t="inlineStr">
        <is>
          <t>1,796M diluted shares</t>
        </is>
      </c>
    </row>
    <row r="10">
      <c r="B10" s="11" t="n"/>
      <c r="C10" s="11" t="n"/>
      <c r="D10" s="11" t="n"/>
      <c r="E10" s="11" t="n"/>
    </row>
    <row r="12" ht="24" customHeight="1">
      <c r="B12" s="7" t="inlineStr">
        <is>
          <t>DCF SCENARIO OUTPUT — THREE CASES</t>
        </is>
      </c>
    </row>
    <row r="13" ht="28" customHeight="1">
      <c r="B13" s="19" t="inlineStr">
        <is>
          <t>Parameter</t>
        </is>
      </c>
      <c r="C13" s="19" t="inlineStr">
        <is>
          <t>Scenario A — Lower</t>
        </is>
      </c>
      <c r="D13" s="19" t="inlineStr">
        <is>
          <t>Scenario B — Mid</t>
        </is>
      </c>
      <c r="E13" s="19" t="inlineStr">
        <is>
          <t>Scenario C — Upper</t>
        </is>
      </c>
      <c r="F13" s="19" t="inlineStr">
        <is>
          <t>Notes</t>
        </is>
      </c>
      <c r="G13" s="45" t="n"/>
    </row>
    <row r="14" ht="20" customHeight="1">
      <c r="B14" s="46" t="inlineStr">
        <is>
          <t>FY2026 Revenue Growth</t>
        </is>
      </c>
      <c r="C14" s="47" t="inlineStr">
        <is>
          <t>36%</t>
        </is>
      </c>
      <c r="D14" s="47" t="inlineStr">
        <is>
          <t>36%</t>
        </is>
      </c>
      <c r="E14" s="47" t="inlineStr">
        <is>
          <t>36%</t>
        </is>
      </c>
      <c r="F14" s="13" t="inlineStr">
        <is>
          <t>All scenarios anchored to H1 2026 actuals</t>
        </is>
      </c>
    </row>
    <row r="15" ht="20" customHeight="1">
      <c r="B15" s="48" t="inlineStr">
        <is>
          <t>FY2027 Revenue Growth</t>
        </is>
      </c>
      <c r="C15" s="49" t="inlineStr">
        <is>
          <t>24%</t>
        </is>
      </c>
      <c r="D15" s="49" t="inlineStr">
        <is>
          <t>50%</t>
        </is>
      </c>
      <c r="E15" s="49" t="inlineStr">
        <is>
          <t>50%</t>
        </is>
      </c>
      <c r="F15" s="10" t="inlineStr">
        <is>
          <t>Mid &amp; Upper reflect mgmt DC-doubling guidance</t>
        </is>
      </c>
    </row>
    <row r="16" ht="20" customHeight="1">
      <c r="B16" s="46" t="inlineStr">
        <is>
          <t>FY2028-2030 Growth</t>
        </is>
      </c>
      <c r="C16" s="47" t="inlineStr">
        <is>
          <t>18/14/11%</t>
        </is>
      </c>
      <c r="D16" s="47" t="inlineStr">
        <is>
          <t>22/16/12%</t>
        </is>
      </c>
      <c r="E16" s="47" t="inlineStr">
        <is>
          <t>22/16/12%</t>
        </is>
      </c>
      <c r="F16" s="13" t="inlineStr">
        <is>
          <t>Upper cases embed share gains vs NVIDIA</t>
        </is>
      </c>
    </row>
    <row r="17" ht="20" customHeight="1">
      <c r="B17" s="48" t="inlineStr">
        <is>
          <t>2030 Revenue ($B)</t>
        </is>
      </c>
      <c r="C17" s="49" t="inlineStr">
        <is>
          <t>$87.2</t>
        </is>
      </c>
      <c r="D17" s="49" t="inlineStr">
        <is>
          <t>$112.0</t>
        </is>
      </c>
      <c r="E17" s="49" t="inlineStr">
        <is>
          <t>$112.0</t>
        </is>
      </c>
      <c r="F17" s="10" t="inlineStr">
        <is>
          <t>Upper cases share same rev path; differ on margin/WACC</t>
        </is>
      </c>
    </row>
    <row r="18" ht="20" customHeight="1">
      <c r="B18" s="46" t="inlineStr">
        <is>
          <t>Gross Margin Range</t>
        </is>
      </c>
      <c r="C18" s="47" t="inlineStr">
        <is>
          <t>51.5%–54.0%</t>
        </is>
      </c>
      <c r="D18" s="47" t="inlineStr">
        <is>
          <t>51.5%–54.0%</t>
        </is>
      </c>
      <c r="E18" s="47" t="inlineStr">
        <is>
          <t>52.0%–56.0%</t>
        </is>
      </c>
      <c r="F18" s="13" t="inlineStr">
        <is>
          <t>Upper case prices MI450 mix lift</t>
        </is>
      </c>
    </row>
    <row r="19" ht="20" customHeight="1">
      <c r="B19" s="48" t="inlineStr">
        <is>
          <t>WACC</t>
        </is>
      </c>
      <c r="C19" s="49" t="inlineStr">
        <is>
          <t>13.79%</t>
        </is>
      </c>
      <c r="D19" s="49" t="inlineStr">
        <is>
          <t>13.79%</t>
        </is>
      </c>
      <c r="E19" s="49" t="inlineStr">
        <is>
          <t>12.50%</t>
        </is>
      </c>
      <c r="F19" s="10" t="inlineStr">
        <is>
          <t>Lower WACC in Upper case reflects de-risking</t>
        </is>
      </c>
    </row>
    <row r="20" ht="20" customHeight="1">
      <c r="B20" s="46" t="inlineStr">
        <is>
          <t>Terminal Growth</t>
        </is>
      </c>
      <c r="C20" s="47" t="inlineStr">
        <is>
          <t>2.50%</t>
        </is>
      </c>
      <c r="D20" s="47" t="inlineStr">
        <is>
          <t>2.50%</t>
        </is>
      </c>
      <c r="E20" s="47" t="inlineStr">
        <is>
          <t>2.50%</t>
        </is>
      </c>
      <c r="F20" s="13" t="inlineStr">
        <is>
          <t>Conservative; below nominal US GDP</t>
        </is>
      </c>
    </row>
    <row r="21" ht="20" customHeight="1">
      <c r="B21" s="48" t="inlineStr">
        <is>
          <t>2030 Free Cash Flow ($B)</t>
        </is>
      </c>
      <c r="C21" s="49" t="inlineStr">
        <is>
          <t>$13.8</t>
        </is>
      </c>
      <c r="D21" s="49" t="inlineStr">
        <is>
          <t>$17.5</t>
        </is>
      </c>
      <c r="E21" s="49" t="inlineStr">
        <is>
          <t>$19.3</t>
        </is>
      </c>
      <c r="F21" s="10" t="inlineStr">
        <is>
          <t>NOPAT less reinvestment</t>
        </is>
      </c>
    </row>
    <row r="22" ht="20" customHeight="1">
      <c r="B22" s="46" t="inlineStr">
        <is>
          <t>Enterprise Value ($B)</t>
        </is>
      </c>
      <c r="C22" s="47" t="inlineStr">
        <is>
          <t>$97.1</t>
        </is>
      </c>
      <c r="D22" s="47" t="inlineStr">
        <is>
          <t>$121.2</t>
        </is>
      </c>
      <c r="E22" s="47" t="inlineStr">
        <is>
          <t>$153.6</t>
        </is>
      </c>
      <c r="F22" s="13" t="inlineStr">
        <is>
          <t>Sum PV of FCF + PV of TV</t>
        </is>
      </c>
    </row>
    <row r="23" ht="20" customHeight="1">
      <c r="B23" s="48" t="inlineStr">
        <is>
          <t>Equity Value ($B)</t>
        </is>
      </c>
      <c r="C23" s="49" t="inlineStr">
        <is>
          <t>$104.4</t>
        </is>
      </c>
      <c r="D23" s="49" t="inlineStr">
        <is>
          <t>$128.5</t>
        </is>
      </c>
      <c r="E23" s="49" t="inlineStr">
        <is>
          <t>$160.9</t>
        </is>
      </c>
      <c r="F23" s="10" t="inlineStr">
        <is>
          <t>EV − Net Debt (cash &gt; debt)</t>
        </is>
      </c>
    </row>
    <row r="24" ht="20" customHeight="1">
      <c r="B24" s="46" t="inlineStr">
        <is>
          <t>Implied Share Price</t>
        </is>
      </c>
      <c r="C24" s="47" t="inlineStr">
        <is>
          <t>$58.16</t>
        </is>
      </c>
      <c r="D24" s="47" t="inlineStr">
        <is>
          <t>$71.54</t>
        </is>
      </c>
      <c r="E24" s="47" t="inlineStr">
        <is>
          <t>$89.60</t>
        </is>
      </c>
      <c r="F24" s="13" t="inlineStr">
        <is>
          <t>Equity Value / 1,796M diluted shares</t>
        </is>
      </c>
    </row>
    <row r="25" ht="20" customHeight="1">
      <c r="B25" s="48" t="inlineStr">
        <is>
          <t>vs $480 Market Price</t>
        </is>
      </c>
      <c r="C25" s="49" t="inlineStr">
        <is>
          <t>(87.9%)</t>
        </is>
      </c>
      <c r="D25" s="49" t="inlineStr">
        <is>
          <t>(85.1%)</t>
        </is>
      </c>
      <c r="E25" s="49" t="inlineStr">
        <is>
          <t>(81.3%)</t>
        </is>
      </c>
      <c r="F25" s="10" t="inlineStr">
        <is>
          <t>Even bull case = significant downside</t>
        </is>
      </c>
    </row>
    <row r="28" ht="24" customHeight="1">
      <c r="B28" s="7" t="inlineStr">
        <is>
          <t>REVERSE DCF — WHAT THE MARKET PRICES IN AT $480</t>
        </is>
      </c>
    </row>
    <row r="29" ht="28" customHeight="1">
      <c r="B29" s="19" t="inlineStr">
        <is>
          <t>Step</t>
        </is>
      </c>
      <c r="C29" s="19" t="inlineStr">
        <is>
          <t>Calculation</t>
        </is>
      </c>
      <c r="D29" s="19" t="inlineStr">
        <is>
          <t>Result</t>
        </is>
      </c>
      <c r="E29" s="19" t="inlineStr">
        <is>
          <t>Comment</t>
        </is>
      </c>
      <c r="F29" s="45" t="n"/>
      <c r="G29" s="45" t="n"/>
    </row>
    <row r="30" ht="20" customHeight="1">
      <c r="B30" s="46" t="inlineStr">
        <is>
          <t>1. Market equity value</t>
        </is>
      </c>
      <c r="C30" s="50" t="inlineStr">
        <is>
          <t>1,796M × $480</t>
        </is>
      </c>
      <c r="D30" s="51" t="inlineStr">
        <is>
          <t>$862,080M</t>
        </is>
      </c>
      <c r="E30" s="13" t="inlineStr">
        <is>
          <t>1,636M base + 160M OpenAI warrant</t>
        </is>
      </c>
    </row>
    <row r="31" ht="20" customHeight="1">
      <c r="B31" s="48" t="inlineStr">
        <is>
          <t>2. Add net debt</t>
        </is>
      </c>
      <c r="C31" s="52" t="inlineStr">
        <is>
          <t>$862,080M + ($3,250M − $10,552M)</t>
        </is>
      </c>
      <c r="D31" s="53" t="inlineStr">
        <is>
          <t>$854,778M (EV)</t>
        </is>
      </c>
      <c r="E31" s="10" t="inlineStr">
        <is>
          <t>AMD is net-cash positive</t>
        </is>
      </c>
    </row>
    <row r="32" ht="20" customHeight="1">
      <c r="B32" s="46" t="inlineStr">
        <is>
          <t>3. Less PV of explicit FCFs (Scen. A)</t>
        </is>
      </c>
      <c r="C32" s="50" t="inlineStr">
        <is>
          <t>$854,778M − $27,286M</t>
        </is>
      </c>
      <c r="D32" s="51" t="inlineStr">
        <is>
          <t>$827,492M (PV of TV)</t>
        </is>
      </c>
      <c r="E32" s="13" t="inlineStr">
        <is>
          <t>Only ~3% of EV from explicit period</t>
        </is>
      </c>
    </row>
    <row r="33" ht="20" customHeight="1">
      <c r="B33" s="48" t="inlineStr">
        <is>
          <t>4. Solve for implied terminal FCF</t>
        </is>
      </c>
      <c r="C33" s="52" t="inlineStr">
        <is>
          <t>PV_TV × (WACC−g) / ((1+g) × DF5)</t>
        </is>
      </c>
      <c r="D33" s="53" t="inlineStr">
        <is>
          <t>$162,968M</t>
        </is>
      </c>
      <c r="E33" s="10" t="inlineStr">
        <is>
          <t>DF5 = 1/(1.1379)^4.5 = 0.5592</t>
        </is>
      </c>
    </row>
    <row r="34" ht="20" customHeight="1">
      <c r="B34" s="46" t="inlineStr">
        <is>
          <t>5. Model Scen. A 2030 FCF</t>
        </is>
      </c>
      <c r="C34" s="50" t="inlineStr">
        <is>
          <t>From base case</t>
        </is>
      </c>
      <c r="D34" s="51" t="inlineStr">
        <is>
          <t>$13,759M</t>
        </is>
      </c>
      <c r="E34" s="13" t="inlineStr">
        <is>
          <t>Conservative case</t>
        </is>
      </c>
    </row>
    <row r="35" ht="20" customHeight="1">
      <c r="B35" s="48" t="inlineStr">
        <is>
          <t>6. Model Scen. C 2030 FCF</t>
        </is>
      </c>
      <c r="C35" s="52" t="inlineStr">
        <is>
          <t>From revised case</t>
        </is>
      </c>
      <c r="D35" s="53" t="inlineStr">
        <is>
          <t>$19,331M</t>
        </is>
      </c>
      <c r="E35" s="10" t="inlineStr">
        <is>
          <t>Most aggressive case</t>
        </is>
      </c>
    </row>
    <row r="36" ht="20" customHeight="1">
      <c r="B36" s="46" t="inlineStr">
        <is>
          <t>7. Market premium vs Scen. A</t>
        </is>
      </c>
      <c r="C36" s="50" t="inlineStr">
        <is>
          <t>($162,968 − $13,759) / $13,759</t>
        </is>
      </c>
      <c r="D36" s="51" t="inlineStr">
        <is>
          <t>+1,084%</t>
        </is>
      </c>
      <c r="E36" s="13" t="inlineStr">
        <is>
          <t>Market prices in ~12× base FCF</t>
        </is>
      </c>
    </row>
    <row r="37" ht="20" customHeight="1">
      <c r="B37" s="48" t="inlineStr">
        <is>
          <t>8. Market premium vs Scen. C</t>
        </is>
      </c>
      <c r="C37" s="52" t="inlineStr">
        <is>
          <t>($162,968 − $19,331) / $19,331</t>
        </is>
      </c>
      <c r="D37" s="53" t="inlineStr">
        <is>
          <t>+743%</t>
        </is>
      </c>
      <c r="E37" s="10" t="inlineStr">
        <is>
          <t>Even vs. bull case: &gt;8× premium</t>
        </is>
      </c>
    </row>
    <row r="40" ht="24" customHeight="1">
      <c r="B40" s="7" t="inlineStr">
        <is>
          <t>BULL / BASE / BEAR — PROBABILITY-WEIGHTED OUTLOOK</t>
        </is>
      </c>
    </row>
    <row r="41" ht="28" customHeight="1">
      <c r="B41" s="19" t="inlineStr">
        <is>
          <t>Driver</t>
        </is>
      </c>
      <c r="C41" s="19" t="inlineStr">
        <is>
          <t>Bear</t>
        </is>
      </c>
      <c r="D41" s="19" t="inlineStr">
        <is>
          <t>Base</t>
        </is>
      </c>
      <c r="E41" s="19" t="inlineStr">
        <is>
          <t>Bull</t>
        </is>
      </c>
      <c r="F41" s="19" t="inlineStr">
        <is>
          <t>Probability</t>
        </is>
      </c>
    </row>
    <row r="42" ht="20" customHeight="1">
      <c r="B42" s="54" t="inlineStr">
        <is>
          <t>Revenue CAGR (2025-2030)</t>
        </is>
      </c>
      <c r="C42" s="55" t="inlineStr">
        <is>
          <t>13.0%</t>
        </is>
      </c>
      <c r="D42" s="55" t="inlineStr">
        <is>
          <t>20.3%</t>
        </is>
      </c>
      <c r="E42" s="55" t="inlineStr">
        <is>
          <t>26.5%</t>
        </is>
      </c>
      <c r="F42" s="55" t="inlineStr">
        <is>
          <t>Bear 20%</t>
        </is>
      </c>
    </row>
    <row r="43" ht="20" customHeight="1">
      <c r="B43" s="56" t="inlineStr">
        <is>
          <t>2030 Revenue</t>
        </is>
      </c>
      <c r="C43" s="57" t="inlineStr">
        <is>
          <t>$63.6B</t>
        </is>
      </c>
      <c r="D43" s="57" t="inlineStr">
        <is>
          <t>$87.2B</t>
        </is>
      </c>
      <c r="E43" s="57" t="inlineStr">
        <is>
          <t>$112.0B</t>
        </is>
      </c>
      <c r="F43" s="57" t="inlineStr">
        <is>
          <t>Base 50%</t>
        </is>
      </c>
    </row>
    <row r="44" ht="20" customHeight="1">
      <c r="B44" s="54" t="inlineStr">
        <is>
          <t>2030 EBIT Margin</t>
        </is>
      </c>
      <c r="C44" s="55" t="inlineStr">
        <is>
          <t>20.0%</t>
        </is>
      </c>
      <c r="D44" s="55" t="inlineStr">
        <is>
          <t>23.3%</t>
        </is>
      </c>
      <c r="E44" s="55" t="inlineStr">
        <is>
          <t>25.7%</t>
        </is>
      </c>
      <c r="F44" s="55" t="inlineStr">
        <is>
          <t>Bull 30%</t>
        </is>
      </c>
    </row>
    <row r="45" ht="20" customHeight="1">
      <c r="B45" s="56" t="inlineStr">
        <is>
          <t>2030 Free Cash Flow</t>
        </is>
      </c>
      <c r="C45" s="57" t="inlineStr">
        <is>
          <t>$10.2B</t>
        </is>
      </c>
      <c r="D45" s="57" t="inlineStr">
        <is>
          <t>$13.8B</t>
        </is>
      </c>
      <c r="E45" s="57" t="inlineStr">
        <is>
          <t>$19.3B</t>
        </is>
      </c>
      <c r="F45" s="57" t="inlineStr"/>
    </row>
    <row r="46" ht="20" customHeight="1">
      <c r="B46" s="54" t="inlineStr">
        <is>
          <t>WACC</t>
        </is>
      </c>
      <c r="C46" s="55" t="inlineStr">
        <is>
          <t>15.00%</t>
        </is>
      </c>
      <c r="D46" s="55" t="inlineStr">
        <is>
          <t>13.79%</t>
        </is>
      </c>
      <c r="E46" s="55" t="inlineStr">
        <is>
          <t>12.50%</t>
        </is>
      </c>
      <c r="F46" s="55" t="inlineStr"/>
    </row>
    <row r="47" ht="20" customHeight="1">
      <c r="B47" s="56" t="inlineStr">
        <is>
          <t>Terminal Growth</t>
        </is>
      </c>
      <c r="C47" s="57" t="inlineStr">
        <is>
          <t>2.0%</t>
        </is>
      </c>
      <c r="D47" s="57" t="inlineStr">
        <is>
          <t>2.5%</t>
        </is>
      </c>
      <c r="E47" s="57" t="inlineStr">
        <is>
          <t>3.0%</t>
        </is>
      </c>
      <c r="F47" s="57" t="inlineStr"/>
    </row>
    <row r="48" ht="20" customHeight="1">
      <c r="B48" s="54" t="inlineStr">
        <is>
          <t>Implied Share Price</t>
        </is>
      </c>
      <c r="C48" s="55" t="inlineStr">
        <is>
          <t>$45.55</t>
        </is>
      </c>
      <c r="D48" s="55" t="inlineStr">
        <is>
          <t>$58.16</t>
        </is>
      </c>
      <c r="E48" s="55" t="inlineStr">
        <is>
          <t>$89.60</t>
        </is>
      </c>
      <c r="F48" s="55" t="inlineStr"/>
    </row>
    <row r="49" ht="20" customHeight="1">
      <c r="B49" s="56" t="inlineStr">
        <is>
          <t>vs $480 Market Price</t>
        </is>
      </c>
      <c r="C49" s="57" t="inlineStr">
        <is>
          <t>(90.5%)</t>
        </is>
      </c>
      <c r="D49" s="57" t="inlineStr">
        <is>
          <t>(87.9%)</t>
        </is>
      </c>
      <c r="E49" s="57" t="inlineStr">
        <is>
          <t>(81.3%)</t>
        </is>
      </c>
      <c r="F49" s="57" t="inlineStr"/>
    </row>
    <row r="50" ht="28" customHeight="1">
      <c r="B50" s="58" t="inlineStr">
        <is>
          <t>Probability-Weighted Implied Price</t>
        </is>
      </c>
      <c r="C50" s="59" t="inlineStr">
        <is>
          <t>0.2×$45.55 + 0.5×$58.16 + 0.3×$89.60</t>
        </is>
      </c>
      <c r="F50" s="60">
        <f> $65.06</f>
        <v/>
      </c>
    </row>
    <row r="53" ht="24" customHeight="1">
      <c r="B53" s="7" t="inlineStr">
        <is>
          <t>KEY THESIS POINTS</t>
        </is>
      </c>
    </row>
    <row r="54" ht="22" customHeight="1">
      <c r="B54" s="61" t="inlineStr">
        <is>
          <t>▎ The paradox</t>
        </is>
      </c>
    </row>
    <row r="55" ht="44" customHeight="1">
      <c r="B55" s="62" t="inlineStr">
        <is>
          <t>AMD's underlying business has never been stronger — Q2 2026 Data Center revenue +107% YoY, three anchor customers (OpenAI, Meta, Anthropic). Yet at $480, the stock trades beyond any defensible valuation framework.</t>
        </is>
      </c>
    </row>
    <row r="56" ht="22" customHeight="1">
      <c r="B56" s="61" t="inlineStr">
        <is>
          <t>▎ Reverse DCF shows 12× base FCF priced in</t>
        </is>
      </c>
    </row>
    <row r="57" ht="44" customHeight="1">
      <c r="B57" s="62" t="inlineStr">
        <is>
          <t>At $480, the market implies 2030 FCF of ~$163B vs. the model's $13.8B (base) or $19.3B (bull). Achieving $163B of 2030 FCF would require &gt;$1T of revenue at margins above NVIDIA's current profile — beyond any defensible scenario.</t>
        </is>
      </c>
    </row>
    <row r="58" ht="22" customHeight="1">
      <c r="B58" s="61" t="inlineStr">
        <is>
          <t>▎ Relative support has collapsed</t>
        </is>
      </c>
    </row>
    <row r="59" ht="44" customHeight="1">
      <c r="B59" s="62" t="inlineStr">
        <is>
          <t>At $237 (early 2026), peer multiples broadly supported the price (~$236 implied avg). At $480, AMD trades at a premium to NVIDIA on EV/Sales (18.1x vs 16.4x) while generating 16% of NVIDIA's revenue — the logical hinge has broken.</t>
        </is>
      </c>
    </row>
    <row r="60" ht="22" customHeight="1">
      <c r="B60" s="61" t="inlineStr">
        <is>
          <t>▎ Why SELL, not HOLD</t>
        </is>
      </c>
    </row>
    <row r="61" ht="44" customHeight="1">
      <c r="B61" s="62" t="inlineStr">
        <is>
          <t>A HOLD rating requires DCF support, relative support, OR a credible catalyst path. At $480, none of these hold. Even the bull-case DCF ($89.60) implies 81% downside.</t>
        </is>
      </c>
    </row>
    <row r="63" ht="36" customHeight="1">
      <c r="B63" s="63" t="inlineStr">
        <is>
          <t>Disclaimer: Educational portfolio project. Not investment advice. Author holds no position in AMD, NVIDIA, or Intel. See AMD_DCF_Valuation_Model.xlsx for the formula-driven DCF workbook with all 8 sheets (Cover, Historicals, Assumptions, WACC, Projections, DCF Valuation, Sensitivity, Dashboard).</t>
        </is>
      </c>
    </row>
  </sheetData>
  <mergeCells count="40">
    <mergeCell ref="C50:E50"/>
    <mergeCell ref="F16:G16"/>
    <mergeCell ref="B60:G60"/>
    <mergeCell ref="F19:G19"/>
    <mergeCell ref="F25:G25"/>
    <mergeCell ref="E31:G31"/>
    <mergeCell ref="B57:G57"/>
    <mergeCell ref="B61:G61"/>
    <mergeCell ref="E34:G34"/>
    <mergeCell ref="G41"/>
    <mergeCell ref="E30:G30"/>
    <mergeCell ref="B53:G53"/>
    <mergeCell ref="F21:G21"/>
    <mergeCell ref="F24:G24"/>
    <mergeCell ref="B28:G28"/>
    <mergeCell ref="E36:G36"/>
    <mergeCell ref="F15:G15"/>
    <mergeCell ref="F20:G20"/>
    <mergeCell ref="F18:G18"/>
    <mergeCell ref="B40:G40"/>
    <mergeCell ref="F50:G50"/>
    <mergeCell ref="F17:G17"/>
    <mergeCell ref="B55:G55"/>
    <mergeCell ref="E32:G32"/>
    <mergeCell ref="E37:G37"/>
    <mergeCell ref="B63:G63"/>
    <mergeCell ref="F23:G23"/>
    <mergeCell ref="B4:G4"/>
    <mergeCell ref="F22:G22"/>
    <mergeCell ref="F13:G13"/>
    <mergeCell ref="B3:G3"/>
    <mergeCell ref="B54:G54"/>
    <mergeCell ref="E33:G33"/>
    <mergeCell ref="B59:G59"/>
    <mergeCell ref="E35:G35"/>
    <mergeCell ref="F14:G14"/>
    <mergeCell ref="B12:G12"/>
    <mergeCell ref="B56:G56"/>
    <mergeCell ref="B58:G58"/>
    <mergeCell ref="E29:G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  <col width="3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15" customHeight="1"/>
    <row r="2" ht="32" customHeight="1">
      <c r="B2" s="17" t="inlineStr">
        <is>
          <t>DCF Valuation — Scenario Detail (FY2026-FY2030)</t>
        </is>
      </c>
    </row>
    <row r="3" ht="8" customHeight="1">
      <c r="B3" s="39" t="inlineStr">
        <is>
          <t>All figures in $ millions unless noted. Source: AMD_Standalone_Research_Note_2026-08-06.docx</t>
        </is>
      </c>
    </row>
    <row r="5" ht="24" customHeight="1">
      <c r="B5" s="7" t="inlineStr">
        <is>
          <t>SCENARIO A — ORIGINAL DCF (LOWER BOUND)  |  Implied Share Price: $58.16</t>
        </is>
      </c>
    </row>
    <row r="6" ht="26" customHeight="1">
      <c r="B6" s="19" t="inlineStr">
        <is>
          <t>Line Item ($M)</t>
        </is>
      </c>
      <c r="C6" s="19" t="inlineStr">
        <is>
          <t>FY2026</t>
        </is>
      </c>
      <c r="D6" s="19" t="inlineStr">
        <is>
          <t>FY2027</t>
        </is>
      </c>
      <c r="E6" s="19" t="inlineStr">
        <is>
          <t>FY2028</t>
        </is>
      </c>
      <c r="F6" s="19" t="inlineStr">
        <is>
          <t>FY2029</t>
        </is>
      </c>
      <c r="G6" s="19" t="inlineStr">
        <is>
          <t>FY2030</t>
        </is>
      </c>
    </row>
    <row r="7" ht="20" customHeight="1">
      <c r="B7" s="54" t="inlineStr">
        <is>
          <t>Net Revenue</t>
        </is>
      </c>
      <c r="C7" s="30" t="n">
        <v>47109</v>
      </c>
      <c r="D7" s="30" t="n">
        <v>58415</v>
      </c>
      <c r="E7" s="30" t="n">
        <v>68930</v>
      </c>
      <c r="F7" s="30" t="n">
        <v>78580</v>
      </c>
      <c r="G7" s="30" t="n">
        <v>87224</v>
      </c>
    </row>
    <row r="8" ht="20" customHeight="1">
      <c r="B8" s="56" t="inlineStr">
        <is>
          <t>Gross Profit (51.5-54%)</t>
        </is>
      </c>
      <c r="C8" s="31" t="n">
        <v>24261</v>
      </c>
      <c r="D8" s="31" t="n">
        <v>30376</v>
      </c>
      <c r="E8" s="31" t="n">
        <v>36188</v>
      </c>
      <c r="F8" s="31" t="n">
        <v>41647</v>
      </c>
      <c r="G8" s="31" t="n">
        <v>47101</v>
      </c>
    </row>
    <row r="9" ht="20" customHeight="1">
      <c r="B9" s="54" t="inlineStr">
        <is>
          <t>R&amp;D (23-20%)</t>
        </is>
      </c>
      <c r="C9" s="30" t="n">
        <v>10835</v>
      </c>
      <c r="D9" s="30" t="n">
        <v>12851</v>
      </c>
      <c r="E9" s="30" t="n">
        <v>14475</v>
      </c>
      <c r="F9" s="30" t="n">
        <v>15716</v>
      </c>
      <c r="G9" s="30" t="n">
        <v>17445</v>
      </c>
    </row>
    <row r="10" ht="20" customHeight="1">
      <c r="B10" s="56" t="inlineStr">
        <is>
          <t>MG&amp;A (11-9%)</t>
        </is>
      </c>
      <c r="C10" s="31" t="n">
        <v>5182</v>
      </c>
      <c r="D10" s="31" t="n">
        <v>6134</v>
      </c>
      <c r="E10" s="31" t="n">
        <v>6893</v>
      </c>
      <c r="F10" s="31" t="n">
        <v>7465</v>
      </c>
      <c r="G10" s="31" t="n">
        <v>7850</v>
      </c>
    </row>
    <row r="11" ht="20" customHeight="1">
      <c r="B11" s="54" t="inlineStr">
        <is>
          <t>Amort. of Acq. Intangibles</t>
        </is>
      </c>
      <c r="C11" s="30" t="n">
        <v>2153</v>
      </c>
      <c r="D11" s="30" t="n">
        <v>2036</v>
      </c>
      <c r="E11" s="30" t="n">
        <v>1923</v>
      </c>
      <c r="F11" s="30" t="n">
        <v>1691</v>
      </c>
      <c r="G11" s="30" t="n">
        <v>1454</v>
      </c>
    </row>
    <row r="12" ht="20" customHeight="1">
      <c r="B12" s="64" t="inlineStr">
        <is>
          <t>EBIT</t>
        </is>
      </c>
      <c r="C12" s="65" t="n">
        <v>6091</v>
      </c>
      <c r="D12" s="65" t="n">
        <v>9355</v>
      </c>
      <c r="E12" s="65" t="n">
        <v>12897</v>
      </c>
      <c r="F12" s="65" t="n">
        <v>16775</v>
      </c>
      <c r="G12" s="65" t="n">
        <v>20352</v>
      </c>
    </row>
    <row r="13" ht="20" customHeight="1">
      <c r="B13" s="64" t="inlineStr">
        <is>
          <t>NOPAT (19% tax)</t>
        </is>
      </c>
      <c r="C13" s="65" t="n">
        <v>4934</v>
      </c>
      <c r="D13" s="65" t="n">
        <v>7578</v>
      </c>
      <c r="E13" s="65" t="n">
        <v>10447</v>
      </c>
      <c r="F13" s="65" t="n">
        <v>13588</v>
      </c>
      <c r="G13" s="65" t="n">
        <v>16485</v>
      </c>
    </row>
    <row r="14" ht="20" customHeight="1">
      <c r="B14" s="56" t="inlineStr">
        <is>
          <t>(+) Amort. + D&amp;A</t>
        </is>
      </c>
      <c r="C14" s="31" t="n">
        <v>3331</v>
      </c>
      <c r="D14" s="31" t="n">
        <v>3496</v>
      </c>
      <c r="E14" s="31" t="n">
        <v>3646</v>
      </c>
      <c r="F14" s="31" t="n">
        <v>3656</v>
      </c>
      <c r="G14" s="31" t="n">
        <v>3635</v>
      </c>
    </row>
    <row r="15" ht="20" customHeight="1">
      <c r="B15" s="54" t="inlineStr">
        <is>
          <t>(−) SBC + CapEx + ΔNWC</t>
        </is>
      </c>
      <c r="C15" s="30" t="n">
        <v>-5639</v>
      </c>
      <c r="D15" s="30" t="n">
        <v>-5913</v>
      </c>
      <c r="E15" s="30" t="n">
        <v>-6083</v>
      </c>
      <c r="F15" s="30" t="n">
        <v>-6116</v>
      </c>
      <c r="G15" s="30" t="n">
        <v>-6362</v>
      </c>
    </row>
    <row r="16" ht="20" customHeight="1">
      <c r="B16" s="64" t="inlineStr">
        <is>
          <t>Unlevered FCF</t>
        </is>
      </c>
      <c r="C16" s="65" t="n">
        <v>2625</v>
      </c>
      <c r="D16" s="65" t="n">
        <v>5161</v>
      </c>
      <c r="E16" s="65" t="n">
        <v>8009</v>
      </c>
      <c r="F16" s="65" t="n">
        <v>11128</v>
      </c>
      <c r="G16" s="65" t="n">
        <v>13759</v>
      </c>
    </row>
    <row r="17" ht="20" customHeight="1">
      <c r="B17" s="54" t="inlineStr">
        <is>
          <t>Discount Factor (13.79%)</t>
        </is>
      </c>
      <c r="C17" s="28" t="n">
        <v>0.9375</v>
      </c>
      <c r="D17" s="28" t="n">
        <v>0.8239</v>
      </c>
      <c r="E17" s="28" t="n">
        <v>0.724</v>
      </c>
      <c r="F17" s="28" t="n">
        <v>0.6363</v>
      </c>
      <c r="G17" s="28" t="n">
        <v>0.5592</v>
      </c>
    </row>
    <row r="18" ht="20" customHeight="1">
      <c r="B18" s="64" t="inlineStr">
        <is>
          <t>PV of FCF</t>
        </is>
      </c>
      <c r="C18" s="65" t="n">
        <v>2461</v>
      </c>
      <c r="D18" s="65" t="n">
        <v>4252</v>
      </c>
      <c r="E18" s="65" t="n">
        <v>5799</v>
      </c>
      <c r="F18" s="65" t="n">
        <v>7081</v>
      </c>
      <c r="G18" s="65" t="n">
        <v>7694</v>
      </c>
    </row>
    <row r="20" ht="24" customHeight="1">
      <c r="B20" s="66" t="inlineStr">
        <is>
          <t>Sum PV FCF (2026-30):</t>
        </is>
      </c>
      <c r="C20" s="67" t="n">
        <v>27286</v>
      </c>
      <c r="D20" s="68" t="inlineStr">
        <is>
          <t>PV of TV:</t>
        </is>
      </c>
      <c r="F20" s="67" t="n">
        <v>69862</v>
      </c>
      <c r="G20" s="69" t="inlineStr">
        <is>
          <t>EV: $97,148M</t>
        </is>
      </c>
    </row>
    <row r="23" ht="24" customHeight="1">
      <c r="I23" s="7" t="inlineStr">
        <is>
          <t>SCENARIO C — FULLY REVISED (UPPER BOUND)  |  Implied Share Price: $89.60</t>
        </is>
      </c>
    </row>
    <row r="24" ht="26" customHeight="1">
      <c r="I24" s="19" t="inlineStr">
        <is>
          <t>Line Item ($M)</t>
        </is>
      </c>
      <c r="J24" s="19" t="inlineStr">
        <is>
          <t>FY2026</t>
        </is>
      </c>
      <c r="K24" s="19" t="inlineStr">
        <is>
          <t>FY2027</t>
        </is>
      </c>
      <c r="L24" s="19" t="inlineStr">
        <is>
          <t>FY2028</t>
        </is>
      </c>
      <c r="M24" s="19" t="inlineStr">
        <is>
          <t>FY2029</t>
        </is>
      </c>
      <c r="N24" s="19" t="inlineStr">
        <is>
          <t>FY2030</t>
        </is>
      </c>
    </row>
    <row r="25" ht="20" customHeight="1">
      <c r="I25" s="54" t="inlineStr">
        <is>
          <t>Net Revenue</t>
        </is>
      </c>
      <c r="J25" s="30" t="n">
        <v>47109</v>
      </c>
      <c r="K25" s="30" t="n">
        <v>70663</v>
      </c>
      <c r="L25" s="30" t="n">
        <v>86208</v>
      </c>
      <c r="M25" s="30" t="n">
        <v>100002</v>
      </c>
      <c r="N25" s="30" t="n">
        <v>112003</v>
      </c>
    </row>
    <row r="26" ht="20" customHeight="1">
      <c r="I26" s="56" t="inlineStr">
        <is>
          <t>Gross Profit (52-56%)</t>
        </is>
      </c>
      <c r="J26" s="31" t="n">
        <v>24497</v>
      </c>
      <c r="K26" s="31" t="n">
        <v>37452</v>
      </c>
      <c r="L26" s="31" t="n">
        <v>46552</v>
      </c>
      <c r="M26" s="31" t="n">
        <v>55001</v>
      </c>
      <c r="N26" s="31" t="n">
        <v>62722</v>
      </c>
    </row>
    <row r="27" ht="20" customHeight="1">
      <c r="I27" s="54" t="inlineStr">
        <is>
          <t>R&amp;D (23-20%)</t>
        </is>
      </c>
      <c r="J27" s="30" t="n">
        <v>10835</v>
      </c>
      <c r="K27" s="30" t="n">
        <v>15546</v>
      </c>
      <c r="L27" s="30" t="n">
        <v>18104</v>
      </c>
      <c r="M27" s="30" t="n">
        <v>20000</v>
      </c>
      <c r="N27" s="30" t="n">
        <v>22401</v>
      </c>
    </row>
    <row r="28" ht="20" customHeight="1">
      <c r="I28" s="56" t="inlineStr">
        <is>
          <t>MG&amp;A (11-9%)</t>
        </is>
      </c>
      <c r="J28" s="31" t="n">
        <v>5182</v>
      </c>
      <c r="K28" s="31" t="n">
        <v>7420</v>
      </c>
      <c r="L28" s="31" t="n">
        <v>8621</v>
      </c>
      <c r="M28" s="31" t="n">
        <v>9500</v>
      </c>
      <c r="N28" s="31" t="n">
        <v>10080</v>
      </c>
    </row>
    <row r="29" ht="20" customHeight="1">
      <c r="I29" s="54" t="inlineStr">
        <is>
          <t>Amort. of Acq. Intangibles</t>
        </is>
      </c>
      <c r="J29" s="30" t="n">
        <v>2153</v>
      </c>
      <c r="K29" s="30" t="n">
        <v>2036</v>
      </c>
      <c r="L29" s="30" t="n">
        <v>1923</v>
      </c>
      <c r="M29" s="30" t="n">
        <v>1691</v>
      </c>
      <c r="N29" s="30" t="n">
        <v>1454</v>
      </c>
    </row>
    <row r="30" ht="20" customHeight="1">
      <c r="I30" s="64" t="inlineStr">
        <is>
          <t>EBIT</t>
        </is>
      </c>
      <c r="J30" s="65" t="n">
        <v>6327</v>
      </c>
      <c r="K30" s="65" t="n">
        <v>12450</v>
      </c>
      <c r="L30" s="65" t="n">
        <v>17904</v>
      </c>
      <c r="M30" s="65" t="n">
        <v>23810</v>
      </c>
      <c r="N30" s="65" t="n">
        <v>28787</v>
      </c>
    </row>
    <row r="31" ht="20" customHeight="1">
      <c r="I31" s="64" t="inlineStr">
        <is>
          <t>NOPAT (19% tax)</t>
        </is>
      </c>
      <c r="J31" s="65" t="n">
        <v>5125</v>
      </c>
      <c r="K31" s="65" t="n">
        <v>10085</v>
      </c>
      <c r="L31" s="65" t="n">
        <v>14503</v>
      </c>
      <c r="M31" s="65" t="n">
        <v>19286</v>
      </c>
      <c r="N31" s="65" t="n">
        <v>23317</v>
      </c>
    </row>
    <row r="32" ht="20" customHeight="1">
      <c r="I32" s="56" t="inlineStr">
        <is>
          <t>(+) Amort. + D&amp;A</t>
        </is>
      </c>
      <c r="J32" s="31" t="n">
        <v>3331</v>
      </c>
      <c r="K32" s="31" t="n">
        <v>3803</v>
      </c>
      <c r="L32" s="31" t="n">
        <v>4078</v>
      </c>
      <c r="M32" s="31" t="n">
        <v>4191</v>
      </c>
      <c r="N32" s="31" t="n">
        <v>4254</v>
      </c>
    </row>
    <row r="33" ht="20" customHeight="1">
      <c r="I33" s="54" t="inlineStr">
        <is>
          <t>(−) SBC + CapEx + ΔNWC</t>
        </is>
      </c>
      <c r="J33" s="30" t="n">
        <v>-7002</v>
      </c>
      <c r="K33" s="30" t="n">
        <v>-9337</v>
      </c>
      <c r="L33" s="30" t="n">
        <v>-9250</v>
      </c>
      <c r="M33" s="30" t="n">
        <v>-8346</v>
      </c>
      <c r="N33" s="30" t="n">
        <v>-8240</v>
      </c>
    </row>
    <row r="34" ht="20" customHeight="1">
      <c r="I34" s="64" t="inlineStr">
        <is>
          <t>Unlevered FCF</t>
        </is>
      </c>
      <c r="J34" s="65" t="n">
        <v>1454</v>
      </c>
      <c r="K34" s="65" t="n">
        <v>4551</v>
      </c>
      <c r="L34" s="65" t="n">
        <v>9331</v>
      </c>
      <c r="M34" s="65" t="n">
        <v>15131</v>
      </c>
      <c r="N34" s="65" t="n">
        <v>19331</v>
      </c>
    </row>
    <row r="35" ht="20" customHeight="1">
      <c r="I35" s="54" t="inlineStr">
        <is>
          <t>Discount Factor (12.50%)</t>
        </is>
      </c>
      <c r="J35" s="28" t="n">
        <v>0.9437</v>
      </c>
      <c r="K35" s="28" t="n">
        <v>0.8388</v>
      </c>
      <c r="L35" s="28" t="n">
        <v>0.7457</v>
      </c>
      <c r="M35" s="28" t="n">
        <v>0.6629</v>
      </c>
      <c r="N35" s="28" t="n">
        <v>0.5891999999999999</v>
      </c>
    </row>
    <row r="36" ht="20" customHeight="1">
      <c r="I36" s="64" t="inlineStr">
        <is>
          <t>PV of FCF</t>
        </is>
      </c>
      <c r="J36" s="65" t="n">
        <v>1372</v>
      </c>
      <c r="K36" s="65" t="n">
        <v>3817</v>
      </c>
      <c r="L36" s="65" t="n">
        <v>6957</v>
      </c>
      <c r="M36" s="65" t="n">
        <v>10031</v>
      </c>
      <c r="N36" s="65" t="n">
        <v>11389</v>
      </c>
    </row>
    <row r="38" ht="24" customHeight="1">
      <c r="I38" s="66" t="inlineStr">
        <is>
          <t>Sum PV FCF (2026-30):</t>
        </is>
      </c>
      <c r="J38" s="67" t="n">
        <v>36991</v>
      </c>
      <c r="K38" s="68" t="inlineStr">
        <is>
          <t>PV of TV:</t>
        </is>
      </c>
      <c r="M38" s="67" t="n">
        <v>116627</v>
      </c>
      <c r="N38" s="70" t="inlineStr">
        <is>
          <t>EV: $153,618M</t>
        </is>
      </c>
    </row>
    <row r="42" ht="24" customHeight="1">
      <c r="B42" s="7" t="inlineStr">
        <is>
          <t>WACC BRIDGE — COST OF CAPITAL COMPONENTS</t>
        </is>
      </c>
    </row>
    <row r="43" ht="26" customHeight="1">
      <c r="B43" s="19" t="inlineStr">
        <is>
          <t>Component</t>
        </is>
      </c>
      <c r="C43" s="19" t="inlineStr">
        <is>
          <t>Value</t>
        </is>
      </c>
      <c r="D43" s="19" t="inlineStr">
        <is>
          <t>Formula / Source</t>
        </is>
      </c>
      <c r="E43" s="45" t="n"/>
      <c r="I43" s="19" t="inlineStr">
        <is>
          <t>Component</t>
        </is>
      </c>
      <c r="J43" s="19" t="inlineStr">
        <is>
          <t>Value</t>
        </is>
      </c>
      <c r="K43" s="19" t="inlineStr">
        <is>
          <t>Formula / Source</t>
        </is>
      </c>
      <c r="L43" s="45" t="n"/>
    </row>
    <row r="44" ht="20" customHeight="1">
      <c r="B44" s="54" t="inlineStr">
        <is>
          <t>Risk-Free Rate (10Y UST)</t>
        </is>
      </c>
      <c r="C44" s="55" t="inlineStr">
        <is>
          <t>4.25%</t>
        </is>
      </c>
      <c r="D44" s="71" t="inlineStr">
        <is>
          <t>FRED, early 2026</t>
        </is>
      </c>
      <c r="I44" s="54" t="inlineStr">
        <is>
          <t>Pre-Tax Cost of Debt</t>
        </is>
      </c>
      <c r="J44" s="55" t="inlineStr">
        <is>
          <t>4.30%</t>
        </is>
      </c>
      <c r="K44" s="71" t="inlineStr">
        <is>
          <t>Weighted avg of AMD notes</t>
        </is>
      </c>
    </row>
    <row r="45" ht="20" customHeight="1">
      <c r="B45" s="56" t="inlineStr">
        <is>
          <t>Equity Risk Premium</t>
        </is>
      </c>
      <c r="C45" s="57" t="inlineStr">
        <is>
          <t>5.50%</t>
        </is>
      </c>
      <c r="D45" s="72" t="inlineStr">
        <is>
          <t>Damodaran 2025</t>
        </is>
      </c>
      <c r="I45" s="56" t="inlineStr">
        <is>
          <t>After-Tax Cost of Debt</t>
        </is>
      </c>
      <c r="J45" s="57" t="inlineStr">
        <is>
          <t>3.49%</t>
        </is>
      </c>
      <c r="K45" s="72" t="inlineStr">
        <is>
          <t>Kd × (1 − 19% tax)</t>
        </is>
      </c>
    </row>
    <row r="46" ht="20" customHeight="1">
      <c r="B46" s="54" t="inlineStr">
        <is>
          <t>Beta (5Y monthly)</t>
        </is>
      </c>
      <c r="C46" s="55" t="inlineStr">
        <is>
          <t>1.75</t>
        </is>
      </c>
      <c r="D46" s="71" t="inlineStr">
        <is>
          <t>AMD vol vs S&amp;P 500</t>
        </is>
      </c>
      <c r="I46" s="54" t="inlineStr">
        <is>
          <t>Weight of Equity</t>
        </is>
      </c>
      <c r="J46" s="55" t="inlineStr">
        <is>
          <t>99.16%</t>
        </is>
      </c>
      <c r="K46" s="71" t="inlineStr">
        <is>
          <t>Mkt cap / total capital</t>
        </is>
      </c>
    </row>
    <row r="47" ht="20" customHeight="1">
      <c r="B47" s="56" t="inlineStr">
        <is>
          <t>Cost of Equity (CAPM)</t>
        </is>
      </c>
      <c r="C47" s="57" t="inlineStr">
        <is>
          <t>13.88%</t>
        </is>
      </c>
      <c r="D47" s="72" t="inlineStr">
        <is>
          <t>Rf + β × ERP</t>
        </is>
      </c>
      <c r="I47" s="56" t="inlineStr">
        <is>
          <t>Weight of Debt</t>
        </is>
      </c>
      <c r="J47" s="57" t="inlineStr">
        <is>
          <t>0.84%</t>
        </is>
      </c>
      <c r="K47" s="72" t="inlineStr">
        <is>
          <t>Debt / total capital</t>
        </is>
      </c>
    </row>
    <row r="48" ht="20" customHeight="1">
      <c r="B48" s="64" t="inlineStr"/>
      <c r="C48" s="73" t="inlineStr"/>
      <c r="D48" s="74" t="inlineStr"/>
      <c r="I48" s="64" t="inlineStr">
        <is>
          <t>WACC</t>
        </is>
      </c>
      <c r="J48" s="73" t="inlineStr">
        <is>
          <t>13.79%</t>
        </is>
      </c>
      <c r="K48" s="74" t="inlineStr">
        <is>
          <t>We × Ke + Wd × Kd×(1−t)</t>
        </is>
      </c>
    </row>
    <row r="51" ht="24" customHeight="1">
      <c r="B51" s="7" t="inlineStr">
        <is>
          <t>METHODOLOGICAL NOTES</t>
        </is>
      </c>
    </row>
    <row r="52" ht="28" customHeight="1">
      <c r="B52" s="15" t="inlineStr">
        <is>
          <t>•  Terminal value represents 72-76% of EV across all scenarios — structural limitation of 5-year DCFs for high-growth companies.</t>
        </is>
      </c>
    </row>
    <row r="53" ht="28" customHeight="1">
      <c r="B53" s="15" t="inlineStr">
        <is>
          <t>•  Terminal growth capped at 2.5% (below nominal US GDP) to align with reinvestment capacity. Required reinvestment at 20% ROIC = 12.5% (g/ROIC).</t>
        </is>
      </c>
    </row>
    <row r="54" ht="28" customHeight="1">
      <c r="B54" s="15" t="inlineStr">
        <is>
          <t>•  R&amp;D is expensed (not capitalized) under GAAP. Capitalizing R&amp;D would increase invested capital and reinvestment, narrowing the structural gap.</t>
        </is>
      </c>
    </row>
    <row r="55" ht="28" customHeight="1">
      <c r="B55" s="15" t="inlineStr">
        <is>
          <t>•  Mid-year convention applied (0.5 in formula) — assumes cash flows occur evenly throughout the year.</t>
        </is>
      </c>
    </row>
    <row r="56" ht="28" customHeight="1">
      <c r="B56" s="15" t="inlineStr">
        <is>
          <t>•  Share count includes full OpenAI warrant vesting (1,636M base + 160M = 1,796M diluted). See Sensitivity sheet for partial-vesting scenarios.</t>
        </is>
      </c>
    </row>
    <row r="57" ht="28" customHeight="1">
      <c r="B57" s="15" t="inlineStr">
        <is>
          <t>•  All projections are formula-driven in the standalone workbook AMD_DCF_Valuation_Model.xlsx — change any yellow input cell to see the valuation update.</t>
        </is>
      </c>
    </row>
  </sheetData>
  <mergeCells count="26">
    <mergeCell ref="D20:E20"/>
    <mergeCell ref="D46:E46"/>
    <mergeCell ref="K45:L45"/>
    <mergeCell ref="B55:N55"/>
    <mergeCell ref="B51:N51"/>
    <mergeCell ref="D45:E45"/>
    <mergeCell ref="K47:L47"/>
    <mergeCell ref="K44:L44"/>
    <mergeCell ref="I23:N23"/>
    <mergeCell ref="K46:L46"/>
    <mergeCell ref="D48:E48"/>
    <mergeCell ref="B54:N54"/>
    <mergeCell ref="D47:E47"/>
    <mergeCell ref="K43:L43"/>
    <mergeCell ref="B5:G5"/>
    <mergeCell ref="D43:E43"/>
    <mergeCell ref="B56:N56"/>
    <mergeCell ref="B52:N52"/>
    <mergeCell ref="B2:N2"/>
    <mergeCell ref="K48:L48"/>
    <mergeCell ref="B42:N42"/>
    <mergeCell ref="B3:G3"/>
    <mergeCell ref="B57:N57"/>
    <mergeCell ref="K38:L38"/>
    <mergeCell ref="B53:N53"/>
    <mergeCell ref="D44:E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36" customWidth="1" min="8" max="8"/>
    <col width="16" customWidth="1" min="9" max="9"/>
    <col width="16" customWidth="1" min="10" max="10"/>
    <col width="16" customWidth="1" min="11" max="11"/>
  </cols>
  <sheetData>
    <row r="1" ht="15" customHeight="1"/>
    <row r="2" ht="32" customHeight="1">
      <c r="B2" s="17" t="inlineStr">
        <is>
          <t>Relative Valuation — Peer Multiples Cross-Check</t>
        </is>
      </c>
    </row>
    <row r="3" ht="8" customHeight="1">
      <c r="B3" s="39" t="inlineStr">
        <is>
          <t>Source: company filings, AMD closing price $480 on 5 Aug 2026</t>
        </is>
      </c>
    </row>
    <row r="5" ht="24" customHeight="1">
      <c r="B5" s="7" t="inlineStr">
        <is>
          <t>PEER MULTIPLES COMPARISON</t>
        </is>
      </c>
    </row>
    <row r="6" ht="28" customHeight="1">
      <c r="B6" s="19" t="inlineStr">
        <is>
          <t>Metric</t>
        </is>
      </c>
      <c r="C6" s="19" t="inlineStr">
        <is>
          <t>AMD ($480)</t>
        </is>
      </c>
      <c r="D6" s="19" t="inlineStr">
        <is>
          <t>NVIDIA</t>
        </is>
      </c>
      <c r="E6" s="19" t="inlineStr">
        <is>
          <t>Intel</t>
        </is>
      </c>
      <c r="F6" s="19" t="inlineStr">
        <is>
          <t>Industry Avg</t>
        </is>
      </c>
    </row>
    <row r="7" ht="20" customHeight="1">
      <c r="B7" s="75" t="inlineStr">
        <is>
          <t>Share Price</t>
        </is>
      </c>
      <c r="C7" s="55" t="inlineStr">
        <is>
          <t>$480.00</t>
        </is>
      </c>
      <c r="D7" s="55" t="inlineStr">
        <is>
          <t>$191.13</t>
        </is>
      </c>
      <c r="E7" s="55" t="inlineStr">
        <is>
          <t>$46.47</t>
        </is>
      </c>
      <c r="F7" s="55" t="inlineStr">
        <is>
          <t>—</t>
        </is>
      </c>
    </row>
    <row r="8" ht="20" customHeight="1">
      <c r="B8" s="76" t="inlineStr">
        <is>
          <t>Market Cap ($B)</t>
        </is>
      </c>
      <c r="C8" s="57" t="inlineStr">
        <is>
          <t>785.3</t>
        </is>
      </c>
      <c r="D8" s="57" t="inlineStr">
        <is>
          <t>4,645.0</t>
        </is>
      </c>
      <c r="E8" s="57" t="inlineStr">
        <is>
          <t>232.0</t>
        </is>
      </c>
      <c r="F8" s="57" t="inlineStr">
        <is>
          <t>—</t>
        </is>
      </c>
    </row>
    <row r="9" ht="20" customHeight="1">
      <c r="B9" s="75" t="inlineStr">
        <is>
          <t>Enterprise Value ($B)</t>
        </is>
      </c>
      <c r="C9" s="55" t="inlineStr">
        <is>
          <t>778.0</t>
        </is>
      </c>
      <c r="D9" s="55" t="inlineStr">
        <is>
          <t>4,591.0</t>
        </is>
      </c>
      <c r="E9" s="55" t="inlineStr">
        <is>
          <t>253.0</t>
        </is>
      </c>
      <c r="F9" s="55" t="inlineStr">
        <is>
          <t>—</t>
        </is>
      </c>
    </row>
    <row r="10" ht="20" customHeight="1">
      <c r="B10" s="76" t="inlineStr">
        <is>
          <t>TTM Revenue ($B)</t>
        </is>
      </c>
      <c r="C10" s="57" t="inlineStr">
        <is>
          <t>34.6</t>
        </is>
      </c>
      <c r="D10" s="57" t="inlineStr">
        <is>
          <t>215.9</t>
        </is>
      </c>
      <c r="E10" s="57" t="inlineStr">
        <is>
          <t>52.9</t>
        </is>
      </c>
      <c r="F10" s="57" t="inlineStr">
        <is>
          <t>—</t>
        </is>
      </c>
    </row>
    <row r="11" ht="20" customHeight="1">
      <c r="B11" s="75" t="inlineStr">
        <is>
          <t>TTM EBITDA ($B)</t>
        </is>
      </c>
      <c r="C11" s="55" t="inlineStr">
        <is>
          <t>6.7</t>
        </is>
      </c>
      <c r="D11" s="55" t="inlineStr">
        <is>
          <t>133.2</t>
        </is>
      </c>
      <c r="E11" s="55" t="inlineStr">
        <is>
          <t>9.5</t>
        </is>
      </c>
      <c r="F11" s="55" t="inlineStr">
        <is>
          <t>—</t>
        </is>
      </c>
    </row>
    <row r="12" ht="20" customHeight="1">
      <c r="B12" s="76" t="inlineStr">
        <is>
          <t>EV / TTM Sales</t>
        </is>
      </c>
      <c r="C12" s="57" t="inlineStr">
        <is>
          <t>22.5x</t>
        </is>
      </c>
      <c r="D12" s="57" t="inlineStr">
        <is>
          <t>21.3x</t>
        </is>
      </c>
      <c r="E12" s="57" t="inlineStr">
        <is>
          <t>4.8x</t>
        </is>
      </c>
      <c r="F12" s="57" t="inlineStr">
        <is>
          <t>15.5x</t>
        </is>
      </c>
    </row>
    <row r="13" ht="20" customHeight="1">
      <c r="B13" s="64" t="inlineStr">
        <is>
          <t>EV / Forward Sales</t>
        </is>
      </c>
      <c r="C13" s="77" t="inlineStr">
        <is>
          <t>18.1x</t>
        </is>
      </c>
      <c r="D13" s="77" t="inlineStr">
        <is>
          <t>16.4x</t>
        </is>
      </c>
      <c r="E13" s="77" t="inlineStr">
        <is>
          <t>4.5x</t>
        </is>
      </c>
      <c r="F13" s="77" t="inlineStr">
        <is>
          <t>15.5x</t>
        </is>
      </c>
    </row>
    <row r="14" ht="20" customHeight="1">
      <c r="B14" s="76" t="inlineStr">
        <is>
          <t>EV / TTM EBITDA</t>
        </is>
      </c>
      <c r="C14" s="57" t="inlineStr">
        <is>
          <t>116.1x</t>
        </is>
      </c>
      <c r="D14" s="57" t="inlineStr">
        <is>
          <t>34.5x</t>
        </is>
      </c>
      <c r="E14" s="57" t="inlineStr">
        <is>
          <t>26.6x</t>
        </is>
      </c>
      <c r="F14" s="57" t="inlineStr">
        <is>
          <t>34.8x</t>
        </is>
      </c>
    </row>
    <row r="15" ht="20" customHeight="1">
      <c r="B15" s="64" t="inlineStr">
        <is>
          <t>EV / Forward EBITDA</t>
        </is>
      </c>
      <c r="C15" s="77" t="inlineStr">
        <is>
          <t>75.0x</t>
        </is>
      </c>
      <c r="D15" s="77" t="inlineStr">
        <is>
          <t>26.2x</t>
        </is>
      </c>
      <c r="E15" s="77" t="inlineStr">
        <is>
          <t>21.1x</t>
        </is>
      </c>
      <c r="F15" s="77" t="inlineStr">
        <is>
          <t>34.8x</t>
        </is>
      </c>
    </row>
    <row r="16" ht="20" customHeight="1">
      <c r="B16" s="64" t="inlineStr">
        <is>
          <t>P / Forward EPS</t>
        </is>
      </c>
      <c r="C16" s="77" t="inlineStr">
        <is>
          <t>115.1x</t>
        </is>
      </c>
      <c r="D16" s="77" t="inlineStr">
        <is>
          <t>30.3x</t>
        </is>
      </c>
      <c r="E16" s="77" t="inlineStr">
        <is>
          <t>110.6x</t>
        </is>
      </c>
      <c r="F16" s="77" t="inlineStr">
        <is>
          <t>37.3x</t>
        </is>
      </c>
    </row>
    <row r="19" ht="24" customHeight="1">
      <c r="H19" s="7" t="inlineStr">
        <is>
          <t>IMPLIED AMD PRICE FROM PEER MULTIPLES</t>
        </is>
      </c>
    </row>
    <row r="20" ht="28" customHeight="1">
      <c r="H20" s="19" t="inlineStr">
        <is>
          <t>Multiple Source</t>
        </is>
      </c>
      <c r="I20" s="19" t="inlineStr">
        <is>
          <t>Multiple</t>
        </is>
      </c>
      <c r="J20" s="19" t="inlineStr">
        <is>
          <t>Implied Price</t>
        </is>
      </c>
      <c r="K20" s="19" t="inlineStr">
        <is>
          <t>vs $480 Market</t>
        </is>
      </c>
    </row>
    <row r="21" ht="20" customHeight="1">
      <c r="H21" s="64" t="inlineStr">
        <is>
          <t>NVIDIA EV/Fwd Sales</t>
        </is>
      </c>
      <c r="I21" s="77" t="inlineStr">
        <is>
          <t>16.4x</t>
        </is>
      </c>
      <c r="J21" s="77" t="inlineStr">
        <is>
          <t>$471</t>
        </is>
      </c>
      <c r="K21" s="77" t="inlineStr">
        <is>
          <t>(1.9%)</t>
        </is>
      </c>
    </row>
    <row r="22" ht="20" customHeight="1">
      <c r="H22" s="76" t="inlineStr">
        <is>
          <t>NVIDIA EV/Fwd EBITDA</t>
        </is>
      </c>
      <c r="I22" s="57" t="inlineStr">
        <is>
          <t>26.2x</t>
        </is>
      </c>
      <c r="J22" s="57" t="inlineStr">
        <is>
          <t>$179</t>
        </is>
      </c>
      <c r="K22" s="57" t="inlineStr">
        <is>
          <t>(62.7%)</t>
        </is>
      </c>
    </row>
    <row r="23" ht="20" customHeight="1">
      <c r="H23" s="75" t="inlineStr">
        <is>
          <t>NVIDIA P/Fwd EPS</t>
        </is>
      </c>
      <c r="I23" s="55" t="inlineStr">
        <is>
          <t>30.3x</t>
        </is>
      </c>
      <c r="J23" s="55" t="inlineStr">
        <is>
          <t>$126</t>
        </is>
      </c>
      <c r="K23" s="55" t="inlineStr">
        <is>
          <t>(73.7%)</t>
        </is>
      </c>
    </row>
    <row r="24" ht="20" customHeight="1">
      <c r="H24" s="76" t="inlineStr">
        <is>
          <t>Industry EV/Fwd Sales</t>
        </is>
      </c>
      <c r="I24" s="57" t="inlineStr">
        <is>
          <t>15.5x</t>
        </is>
      </c>
      <c r="J24" s="57" t="inlineStr">
        <is>
          <t>$445</t>
        </is>
      </c>
      <c r="K24" s="57" t="inlineStr">
        <is>
          <t>(7.3%)</t>
        </is>
      </c>
    </row>
    <row r="25" ht="20" customHeight="1">
      <c r="H25" s="75" t="inlineStr">
        <is>
          <t>Industry EV/Fwd EBITDA</t>
        </is>
      </c>
      <c r="I25" s="55" t="inlineStr">
        <is>
          <t>34.8x</t>
        </is>
      </c>
      <c r="J25" s="55" t="inlineStr">
        <is>
          <t>$239</t>
        </is>
      </c>
      <c r="K25" s="55" t="inlineStr">
        <is>
          <t>(50.2%)</t>
        </is>
      </c>
    </row>
    <row r="26" ht="20" customHeight="1">
      <c r="H26" s="76" t="inlineStr">
        <is>
          <t>Industry P/Fwd EPS</t>
        </is>
      </c>
      <c r="I26" s="57" t="inlineStr">
        <is>
          <t>37.3x</t>
        </is>
      </c>
      <c r="J26" s="57" t="inlineStr">
        <is>
          <t>$156</t>
        </is>
      </c>
      <c r="K26" s="57" t="inlineStr">
        <is>
          <t>(67.6%)</t>
        </is>
      </c>
    </row>
    <row r="27" ht="20" customHeight="1">
      <c r="H27" s="75" t="inlineStr">
        <is>
          <t>Intel EV/Fwd Sales</t>
        </is>
      </c>
      <c r="I27" s="55" t="inlineStr">
        <is>
          <t>4.5x</t>
        </is>
      </c>
      <c r="J27" s="55" t="inlineStr">
        <is>
          <t>$126</t>
        </is>
      </c>
      <c r="K27" s="55" t="inlineStr">
        <is>
          <t>(73.7%)</t>
        </is>
      </c>
    </row>
    <row r="28" ht="20" customHeight="1">
      <c r="H28" s="76" t="inlineStr">
        <is>
          <t>Intel EV/Fwd EBITDA</t>
        </is>
      </c>
      <c r="I28" s="57" t="inlineStr">
        <is>
          <t>21.1x</t>
        </is>
      </c>
      <c r="J28" s="57" t="inlineStr">
        <is>
          <t>$143</t>
        </is>
      </c>
      <c r="K28" s="57" t="inlineStr">
        <is>
          <t>(70.2%)</t>
        </is>
      </c>
    </row>
    <row r="30" ht="28" customHeight="1">
      <c r="H30" s="58" t="inlineStr">
        <is>
          <t>Average Implied Price</t>
        </is>
      </c>
      <c r="I30" s="78" t="inlineStr">
        <is>
          <t>8 multiples</t>
        </is>
      </c>
      <c r="J30" s="79" t="inlineStr">
        <is>
          <t>$236</t>
        </is>
      </c>
      <c r="K30" s="60" t="inlineStr">
        <is>
          <t>(50.8%)</t>
        </is>
      </c>
    </row>
    <row r="33" ht="24" customHeight="1">
      <c r="B33" s="7" t="inlineStr">
        <is>
          <t>THE LOGICAL HINGE — WHY RELATIVE VALUATION MATTERS NOW</t>
        </is>
      </c>
    </row>
    <row r="34" ht="22" customHeight="1">
      <c r="B34" s="61" t="inlineStr">
        <is>
          <t>▎ At $237 (early 2026)</t>
        </is>
      </c>
    </row>
    <row r="35" ht="44" customHeight="1">
      <c r="B35" s="62" t="inlineStr">
        <is>
          <t>Peer multiples broadly supported the price: industry EV/Fwd Sales implied ~$236, essentially matching AMD's market price. The DCF said $58-$90, but relative valuation said ~$237 — giving investors a logical 'out' to discount the DCF.</t>
        </is>
      </c>
    </row>
    <row r="36" ht="22" customHeight="1">
      <c r="B36" s="61" t="inlineStr">
        <is>
          <t>▎ At $480 (5 Aug 2026)</t>
        </is>
      </c>
    </row>
    <row r="37" ht="44" customHeight="1">
      <c r="B37" s="62" t="inlineStr">
        <is>
          <t>The hinge has broken. AMD now trades at a PREMIUM to NVIDIA on EV/Fwd Sales (18.1x vs 16.4x) despite generating 16% of NVIDIA's revenue. The average peer-implied price has fallen to ~$236 — half the market price. No defensible relative-valuation anchor remains.</t>
        </is>
      </c>
    </row>
    <row r="38" ht="22" customHeight="1">
      <c r="B38" s="61" t="inlineStr">
        <is>
          <t>▎ Implication</t>
        </is>
      </c>
    </row>
    <row r="39" ht="44" customHeight="1">
      <c r="B39" s="62" t="inlineStr">
        <is>
          <t>Without either DCF support ($58-$90) or relative support (~$236), the burden of proof falls entirely on forward fundamentals. The market is now pricing in execution that exceeds even the bull-case 2030 FCF by ~8× — beyond any defensible scenario analysis.</t>
        </is>
      </c>
    </row>
  </sheetData>
  <mergeCells count="11">
    <mergeCell ref="B36:K36"/>
    <mergeCell ref="B3:F3"/>
    <mergeCell ref="B5:F5"/>
    <mergeCell ref="B35:K35"/>
    <mergeCell ref="B39:K39"/>
    <mergeCell ref="B38:K38"/>
    <mergeCell ref="B2:K2"/>
    <mergeCell ref="B34:K34"/>
    <mergeCell ref="B33:K33"/>
    <mergeCell ref="H19:K19"/>
    <mergeCell ref="B37:K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N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3" customWidth="1" min="9" max="9"/>
    <col width="32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15" customHeight="1"/>
    <row r="2" ht="32" customHeight="1">
      <c r="B2" s="17" t="inlineStr">
        <is>
          <t>Sensitivity Analysis — WACC × Terminal Growth &amp; Warrant Dilution</t>
        </is>
      </c>
    </row>
    <row r="3" ht="8" customHeight="1">
      <c r="B3" s="39" t="inlineStr">
        <is>
          <t>All implied share prices in USD. Base case: WACC 13.79%, Terminal Growth 2.50% → $58.16</t>
        </is>
      </c>
    </row>
    <row r="5" ht="24" customHeight="1">
      <c r="B5" s="7" t="inlineStr">
        <is>
          <t>TWO-WAY SENSITIVITY — IMPLIED SHARE PRICE ($)</t>
        </is>
      </c>
    </row>
    <row r="6" ht="32" customHeight="1">
      <c r="B6" s="19" t="inlineStr">
        <is>
          <t>WACC ↓  \  Terminal Growth →</t>
        </is>
      </c>
      <c r="C6" s="19" t="inlineStr">
        <is>
          <t>1.5%</t>
        </is>
      </c>
      <c r="D6" s="19" t="inlineStr">
        <is>
          <t>2.0%</t>
        </is>
      </c>
      <c r="E6" s="19" t="inlineStr">
        <is>
          <t>2.5% (Base)</t>
        </is>
      </c>
      <c r="F6" s="19" t="inlineStr">
        <is>
          <t>3.0%</t>
        </is>
      </c>
      <c r="G6" s="19" t="inlineStr">
        <is>
          <t>3.5%</t>
        </is>
      </c>
    </row>
    <row r="7" ht="20" customHeight="1">
      <c r="B7" s="80" t="inlineStr">
        <is>
          <t>11.00%</t>
        </is>
      </c>
      <c r="C7" s="55" t="inlineStr">
        <is>
          <t>$71.61</t>
        </is>
      </c>
      <c r="D7" s="55" t="inlineStr">
        <is>
          <t>$74.72</t>
        </is>
      </c>
      <c r="E7" s="55" t="inlineStr">
        <is>
          <t>$78.19</t>
        </is>
      </c>
      <c r="F7" s="55" t="inlineStr">
        <is>
          <t>$82.10</t>
        </is>
      </c>
      <c r="G7" s="55" t="inlineStr">
        <is>
          <t>$86.53</t>
        </is>
      </c>
    </row>
    <row r="8" ht="20" customHeight="1">
      <c r="B8" s="81" t="inlineStr">
        <is>
          <t>12.00%</t>
        </is>
      </c>
      <c r="C8" s="57" t="inlineStr">
        <is>
          <t>$64.47</t>
        </is>
      </c>
      <c r="D8" s="57" t="inlineStr">
        <is>
          <t>$66.92</t>
        </is>
      </c>
      <c r="E8" s="57" t="inlineStr">
        <is>
          <t>$69.63</t>
        </is>
      </c>
      <c r="F8" s="57" t="inlineStr">
        <is>
          <t>$72.65</t>
        </is>
      </c>
      <c r="G8" s="57" t="inlineStr">
        <is>
          <t>$76.01</t>
        </is>
      </c>
    </row>
    <row r="9" ht="20" customHeight="1">
      <c r="B9" s="80" t="inlineStr">
        <is>
          <t>13.00%</t>
        </is>
      </c>
      <c r="C9" s="55" t="inlineStr">
        <is>
          <t>$58.59</t>
        </is>
      </c>
      <c r="D9" s="55" t="inlineStr">
        <is>
          <t>$60.56</t>
        </is>
      </c>
      <c r="E9" s="55" t="inlineStr">
        <is>
          <t>$62.73</t>
        </is>
      </c>
      <c r="F9" s="55" t="inlineStr">
        <is>
          <t>$65.10</t>
        </is>
      </c>
      <c r="G9" s="55" t="inlineStr">
        <is>
          <t>$67.73</t>
        </is>
      </c>
    </row>
    <row r="10" ht="20" customHeight="1">
      <c r="B10" s="77" t="inlineStr">
        <is>
          <t>13.79% (Base)</t>
        </is>
      </c>
      <c r="C10" s="82" t="inlineStr">
        <is>
          <t>$55.13</t>
        </is>
      </c>
      <c r="D10" s="82" t="inlineStr">
        <is>
          <t>$56.85</t>
        </is>
      </c>
      <c r="E10" s="83" t="inlineStr">
        <is>
          <t>$58.16</t>
        </is>
      </c>
      <c r="F10" s="82" t="inlineStr">
        <is>
          <t>$59.69</t>
        </is>
      </c>
      <c r="G10" s="82" t="inlineStr">
        <is>
          <t>$61.42</t>
        </is>
      </c>
    </row>
    <row r="11" ht="20" customHeight="1">
      <c r="B11" s="80" t="inlineStr">
        <is>
          <t>14.00%</t>
        </is>
      </c>
      <c r="C11" s="55" t="inlineStr">
        <is>
          <t>$53.67</t>
        </is>
      </c>
      <c r="D11" s="55" t="inlineStr">
        <is>
          <t>$55.28</t>
        </is>
      </c>
      <c r="E11" s="55" t="inlineStr">
        <is>
          <t>$57.04</t>
        </is>
      </c>
      <c r="F11" s="55" t="inlineStr">
        <is>
          <t>$58.95</t>
        </is>
      </c>
      <c r="G11" s="55" t="inlineStr">
        <is>
          <t>$61.05</t>
        </is>
      </c>
    </row>
    <row r="12" ht="20" customHeight="1">
      <c r="B12" s="81" t="inlineStr">
        <is>
          <t>15.00%</t>
        </is>
      </c>
      <c r="C12" s="57" t="inlineStr">
        <is>
          <t>$49.50</t>
        </is>
      </c>
      <c r="D12" s="57" t="inlineStr">
        <is>
          <t>$50.83</t>
        </is>
      </c>
      <c r="E12" s="57" t="inlineStr">
        <is>
          <t>$52.28</t>
        </is>
      </c>
      <c r="F12" s="57" t="inlineStr">
        <is>
          <t>$53.84</t>
        </is>
      </c>
      <c r="G12" s="57" t="inlineStr">
        <is>
          <t>$55.55</t>
        </is>
      </c>
    </row>
    <row r="13" ht="20" customHeight="1">
      <c r="B13" s="80" t="inlineStr">
        <is>
          <t>16.00%</t>
        </is>
      </c>
      <c r="C13" s="55" t="inlineStr">
        <is>
          <t>$45.91</t>
        </is>
      </c>
      <c r="D13" s="55" t="inlineStr">
        <is>
          <t>$47.03</t>
        </is>
      </c>
      <c r="E13" s="55" t="inlineStr">
        <is>
          <t>$48.24</t>
        </is>
      </c>
      <c r="F13" s="55" t="inlineStr">
        <is>
          <t>$49.54</t>
        </is>
      </c>
      <c r="G13" s="55" t="inlineStr">
        <is>
          <t>$50.94</t>
        </is>
      </c>
    </row>
    <row r="15">
      <c r="B15" s="84" t="inlineStr">
        <is>
          <t>Cell shading:</t>
        </is>
      </c>
      <c r="C15" s="85" t="inlineStr">
        <is>
          <t>Base case</t>
        </is>
      </c>
      <c r="D15" s="84" t="inlineStr">
        <is>
          <t>Range: $45.55 (bear) – $89.60 (bull)</t>
        </is>
      </c>
    </row>
    <row r="18" ht="24" customHeight="1">
      <c r="B18" s="7" t="inlineStr">
        <is>
          <t>WARRANT DILUTION SENSITIVITY</t>
        </is>
      </c>
    </row>
    <row r="19" ht="28" customHeight="1">
      <c r="B19" s="19" t="inlineStr">
        <is>
          <t>Vesting Scenario</t>
        </is>
      </c>
      <c r="C19" s="19" t="inlineStr">
        <is>
          <t>Diluted Shares (M)</t>
        </is>
      </c>
      <c r="D19" s="19" t="inlineStr">
        <is>
          <t>Implied Price</t>
        </is>
      </c>
      <c r="E19" s="19" t="inlineStr">
        <is>
          <t>vs $480 Market</t>
        </is>
      </c>
      <c r="F19" s="19" t="inlineStr">
        <is>
          <t>Comment</t>
        </is>
      </c>
      <c r="G19" s="45" t="n"/>
      <c r="H19" s="45" t="n"/>
    </row>
    <row r="20" ht="22" customHeight="1">
      <c r="B20" s="86" t="inlineStr">
        <is>
          <t>No vesting (deployment fails)</t>
        </is>
      </c>
      <c r="C20" s="47" t="inlineStr">
        <is>
          <t>1,636</t>
        </is>
      </c>
      <c r="D20" s="47" t="inlineStr">
        <is>
          <t>$63.84</t>
        </is>
      </c>
      <c r="E20" s="47" t="inlineStr">
        <is>
          <t>(86.7%)</t>
        </is>
      </c>
      <c r="F20" s="13" t="inlineStr">
        <is>
          <t>Warrant forfeited; base share count only</t>
        </is>
      </c>
    </row>
    <row r="21" ht="22" customHeight="1">
      <c r="B21" s="87" t="inlineStr">
        <is>
          <t>Partial vesting (~50%, mid-tier hurdles)</t>
        </is>
      </c>
      <c r="C21" s="49" t="inlineStr">
        <is>
          <t>1,716</t>
        </is>
      </c>
      <c r="D21" s="49" t="inlineStr">
        <is>
          <t>$60.87</t>
        </is>
      </c>
      <c r="E21" s="49" t="inlineStr">
        <is>
          <t>(87.3%)</t>
        </is>
      </c>
      <c r="F21" s="10" t="inlineStr">
        <is>
          <t>Some share-price hurdles not met</t>
        </is>
      </c>
    </row>
    <row r="22" ht="22" customHeight="1">
      <c r="B22" s="88" t="inlineStr">
        <is>
          <t>Full OpenAI vesting (all hurdles incl. $600)</t>
        </is>
      </c>
      <c r="C22" s="89" t="inlineStr">
        <is>
          <t>1,796</t>
        </is>
      </c>
      <c r="D22" s="89" t="inlineStr">
        <is>
          <t>$58.16</t>
        </is>
      </c>
      <c r="E22" s="89" t="inlineStr">
        <is>
          <t>(87.9%)</t>
        </is>
      </c>
      <c r="F22" s="90" t="inlineStr">
        <is>
          <t>Base case in DCF model</t>
        </is>
      </c>
    </row>
    <row r="23" ht="22" customHeight="1">
      <c r="B23" s="87" t="inlineStr">
        <is>
          <t>Full OpenAI + Meta warrants vesting</t>
        </is>
      </c>
      <c r="C23" s="49" t="inlineStr">
        <is>
          <t>1,956</t>
        </is>
      </c>
      <c r="D23" s="49" t="inlineStr">
        <is>
          <t>$53.40</t>
        </is>
      </c>
      <c r="E23" s="49" t="inlineStr">
        <is>
          <t>(88.9%)</t>
        </is>
      </c>
      <c r="F23" s="10" t="inlineStr">
        <is>
          <t>Both 160M-share warrants fully vest</t>
        </is>
      </c>
    </row>
    <row r="26" ht="24" customHeight="1">
      <c r="B26" s="7" t="inlineStr">
        <is>
          <t>REVERSE DCF STRESS TEST — WHAT $163B OF 2030 FCF WOULD REQUIRE</t>
        </is>
      </c>
    </row>
    <row r="27" ht="28" customHeight="1">
      <c r="B27" s="19" t="inlineStr">
        <is>
          <t>FCF Margin</t>
        </is>
      </c>
      <c r="C27" s="19" t="inlineStr">
        <is>
          <t>Required 2030 Revenue</t>
        </is>
      </c>
      <c r="D27" s="19" t="inlineStr">
        <is>
          <t>Share of $1T Forecast TAM</t>
        </is>
      </c>
      <c r="E27" s="19" t="inlineStr">
        <is>
          <t>Assessment</t>
        </is>
      </c>
      <c r="F27" s="45" t="n"/>
      <c r="G27" s="45" t="n"/>
      <c r="H27" s="45" t="n"/>
    </row>
    <row r="28" ht="22" customHeight="1">
      <c r="B28" s="86" t="inlineStr">
        <is>
          <t>15.8% (model base)</t>
        </is>
      </c>
      <c r="C28" s="47" t="inlineStr">
        <is>
          <t>$1,033B</t>
        </is>
      </c>
      <c r="D28" s="47" t="inlineStr">
        <is>
          <t>~103%</t>
        </is>
      </c>
      <c r="E28" s="13" t="inlineStr">
        <is>
          <t>Would require TAM forecast to be materially understated</t>
        </is>
      </c>
    </row>
    <row r="29" ht="22" customHeight="1">
      <c r="B29" s="87" t="inlineStr">
        <is>
          <t>20%</t>
        </is>
      </c>
      <c r="C29" s="49" t="inlineStr">
        <is>
          <t>$815B</t>
        </is>
      </c>
      <c r="D29" s="49" t="inlineStr">
        <is>
          <t>~81%</t>
        </is>
      </c>
      <c r="E29" s="10" t="inlineStr">
        <is>
          <t>Extreme; would require AMD to dominate AI accelerators</t>
        </is>
      </c>
    </row>
    <row r="30" ht="22" customHeight="1">
      <c r="B30" s="86" t="inlineStr">
        <is>
          <t>25%</t>
        </is>
      </c>
      <c r="C30" s="47" t="inlineStr">
        <is>
          <t>$652B</t>
        </is>
      </c>
      <c r="D30" s="47" t="inlineStr">
        <is>
          <t>~65%</t>
        </is>
      </c>
      <c r="E30" s="13" t="inlineStr">
        <is>
          <t>Extreme; above NVIDIA's current ~45% FCF margin</t>
        </is>
      </c>
    </row>
    <row r="31" ht="22" customHeight="1">
      <c r="B31" s="87" t="inlineStr">
        <is>
          <t>30%</t>
        </is>
      </c>
      <c r="C31" s="49" t="inlineStr">
        <is>
          <t>$543B</t>
        </is>
      </c>
      <c r="D31" s="49" t="inlineStr">
        <is>
          <t>~54%</t>
        </is>
      </c>
      <c r="E31" s="10" t="inlineStr">
        <is>
          <t>Extreme; would require displacing NVIDIA</t>
        </is>
      </c>
    </row>
    <row r="32" ht="22" customHeight="1">
      <c r="B32" s="86" t="inlineStr">
        <is>
          <t>40%</t>
        </is>
      </c>
      <c r="C32" s="47" t="inlineStr">
        <is>
          <t>$407B</t>
        </is>
      </c>
      <c r="D32" s="47" t="inlineStr">
        <is>
          <t>~41%</t>
        </is>
      </c>
      <c r="E32" s="13" t="inlineStr">
        <is>
          <t>Extreme; FCF margin above NVIDIA's current profile</t>
        </is>
      </c>
    </row>
    <row r="35" ht="24" customHeight="1">
      <c r="J35" s="7" t="inlineStr">
        <is>
          <t>REVERSE DCF — STEP BY STEP AT $480 MARKET</t>
        </is>
      </c>
    </row>
    <row r="36" ht="28" customHeight="1">
      <c r="J36" s="19" t="inlineStr">
        <is>
          <t>Step</t>
        </is>
      </c>
      <c r="K36" s="45" t="n"/>
      <c r="L36" s="19" t="inlineStr">
        <is>
          <t>Calculation</t>
        </is>
      </c>
      <c r="M36" s="45" t="n"/>
      <c r="N36" s="19" t="inlineStr">
        <is>
          <t>Result</t>
        </is>
      </c>
    </row>
    <row r="37" ht="22" customHeight="1">
      <c r="J37" s="91" t="inlineStr">
        <is>
          <t>Market Price</t>
        </is>
      </c>
      <c r="L37" s="71" t="inlineStr">
        <is>
          <t>AMD closing price, 5 Aug 2026</t>
        </is>
      </c>
      <c r="N37" s="92" t="inlineStr">
        <is>
          <t>$480.00</t>
        </is>
      </c>
    </row>
    <row r="38" ht="22" customHeight="1">
      <c r="J38" s="93" t="inlineStr">
        <is>
          <t>Diluted Shares</t>
        </is>
      </c>
      <c r="L38" s="72" t="inlineStr">
        <is>
          <t>1,636M base + 160M OpenAI warrant</t>
        </is>
      </c>
      <c r="N38" s="94" t="inlineStr">
        <is>
          <t>1,796M</t>
        </is>
      </c>
    </row>
    <row r="39" ht="22" customHeight="1">
      <c r="J39" s="91" t="inlineStr">
        <is>
          <t>Implied Market Equity Value</t>
        </is>
      </c>
      <c r="L39" s="71" t="inlineStr">
        <is>
          <t>1,796M × $480</t>
        </is>
      </c>
      <c r="N39" s="92" t="inlineStr">
        <is>
          <t>$862,080M</t>
        </is>
      </c>
    </row>
    <row r="40" ht="22" customHeight="1">
      <c r="J40" s="93" t="inlineStr">
        <is>
          <t>Net Debt</t>
        </is>
      </c>
      <c r="L40" s="72" t="inlineStr">
        <is>
          <t>$3,250M debt − $10,552M cash</t>
        </is>
      </c>
      <c r="N40" s="94" t="inlineStr">
        <is>
          <t>($7,302M)</t>
        </is>
      </c>
    </row>
    <row r="41" ht="22" customHeight="1">
      <c r="J41" s="91" t="inlineStr">
        <is>
          <t>Implied Market EV</t>
        </is>
      </c>
      <c r="L41" s="71" t="inlineStr">
        <is>
          <t>$862,080M + ($7,302M)</t>
        </is>
      </c>
      <c r="N41" s="92" t="inlineStr">
        <is>
          <t>$854,778M</t>
        </is>
      </c>
    </row>
    <row r="42" ht="22" customHeight="1">
      <c r="J42" s="93" t="inlineStr">
        <is>
          <t>PV of Explicit FCFs (Scen. A)</t>
        </is>
      </c>
      <c r="L42" s="72" t="inlineStr">
        <is>
          <t>From DCF model</t>
        </is>
      </c>
      <c r="N42" s="94" t="inlineStr">
        <is>
          <t>$27,286M</t>
        </is>
      </c>
    </row>
    <row r="43" ht="22" customHeight="1">
      <c r="J43" s="91" t="inlineStr">
        <is>
          <t>Implied PV of Terminal Value</t>
        </is>
      </c>
      <c r="L43" s="71" t="inlineStr">
        <is>
          <t>$854,778M − $27,286M</t>
        </is>
      </c>
      <c r="N43" s="92" t="inlineStr">
        <is>
          <t>$827,492M</t>
        </is>
      </c>
    </row>
    <row r="44" ht="22" customHeight="1">
      <c r="J44" s="93" t="inlineStr">
        <is>
          <t>WACC (held constant)</t>
        </is>
      </c>
      <c r="L44" s="72" t="inlineStr">
        <is>
          <t>From base case</t>
        </is>
      </c>
      <c r="N44" s="94" t="inlineStr">
        <is>
          <t>13.79%</t>
        </is>
      </c>
    </row>
    <row r="45" ht="22" customHeight="1">
      <c r="J45" s="91" t="inlineStr">
        <is>
          <t>Terminal Growth (held constant)</t>
        </is>
      </c>
      <c r="L45" s="71" t="inlineStr">
        <is>
          <t>From base case</t>
        </is>
      </c>
      <c r="N45" s="92" t="inlineStr">
        <is>
          <t>2.50%</t>
        </is>
      </c>
    </row>
    <row r="46" ht="22" customHeight="1">
      <c r="J46" s="93" t="inlineStr">
        <is>
          <t>Year-5 Discount Factor</t>
        </is>
      </c>
      <c r="L46" s="72" t="inlineStr">
        <is>
          <t>1 / (1.1379)^4.5</t>
        </is>
      </c>
      <c r="N46" s="94" t="inlineStr">
        <is>
          <t>0.5592</t>
        </is>
      </c>
    </row>
    <row r="47" ht="22" customHeight="1">
      <c r="J47" s="91" t="inlineStr">
        <is>
          <t>Implied Terminal FCF (2030)</t>
        </is>
      </c>
      <c r="L47" s="71" t="inlineStr">
        <is>
          <t>PV_TV × (WACC−g) / ((1+g) × DF5)</t>
        </is>
      </c>
      <c r="N47" s="92" t="inlineStr">
        <is>
          <t>$162,968M</t>
        </is>
      </c>
    </row>
    <row r="48" ht="22" customHeight="1">
      <c r="J48" s="93" t="inlineStr">
        <is>
          <t>Model Scen. A 2030 FCF</t>
        </is>
      </c>
      <c r="L48" s="72" t="inlineStr">
        <is>
          <t>From base DCF</t>
        </is>
      </c>
      <c r="N48" s="94" t="inlineStr">
        <is>
          <t>$13,759M</t>
        </is>
      </c>
    </row>
    <row r="49" ht="22" customHeight="1">
      <c r="J49" s="91" t="inlineStr">
        <is>
          <t>Model Scen. C 2030 FCF</t>
        </is>
      </c>
      <c r="L49" s="71" t="inlineStr">
        <is>
          <t>From revised DCF</t>
        </is>
      </c>
      <c r="N49" s="92" t="inlineStr">
        <is>
          <t>$19,331M</t>
        </is>
      </c>
    </row>
    <row r="50" ht="22" customHeight="1">
      <c r="J50" s="95" t="inlineStr">
        <is>
          <t>Market Premium vs Scen. A</t>
        </is>
      </c>
      <c r="L50" s="74" t="inlineStr">
        <is>
          <t>(162,968 − 13,759) / 13,759</t>
        </is>
      </c>
      <c r="N50" s="96" t="inlineStr">
        <is>
          <t>+1,084%</t>
        </is>
      </c>
    </row>
    <row r="51" ht="22" customHeight="1">
      <c r="J51" s="95" t="inlineStr">
        <is>
          <t>Market Premium vs Scen. C</t>
        </is>
      </c>
      <c r="L51" s="74" t="inlineStr">
        <is>
          <t>(162,968 − 19,331) / 19,331</t>
        </is>
      </c>
      <c r="N51" s="96" t="inlineStr">
        <is>
          <t>+743%</t>
        </is>
      </c>
    </row>
    <row r="54" ht="24" customHeight="1">
      <c r="B54" s="63" t="inlineStr">
        <is>
          <t>Note: The standalone DCF workbook (AMD_DCF_Valuation_Model.xlsx) contains formula-driven sensitivity matrices — change any input to see all values update.</t>
        </is>
      </c>
    </row>
  </sheetData>
  <mergeCells count="51">
    <mergeCell ref="F20:H20"/>
    <mergeCell ref="J39:K39"/>
    <mergeCell ref="L48:M48"/>
    <mergeCell ref="J44:K44"/>
    <mergeCell ref="J38:K38"/>
    <mergeCell ref="J37:K37"/>
    <mergeCell ref="L37:M37"/>
    <mergeCell ref="E32:H32"/>
    <mergeCell ref="B5:H5"/>
    <mergeCell ref="L47:M47"/>
    <mergeCell ref="J40:K40"/>
    <mergeCell ref="F23:H23"/>
    <mergeCell ref="L43:M43"/>
    <mergeCell ref="F22:H22"/>
    <mergeCell ref="B26:H26"/>
    <mergeCell ref="L42:M42"/>
    <mergeCell ref="J49:K49"/>
    <mergeCell ref="B54:H54"/>
    <mergeCell ref="J45:K45"/>
    <mergeCell ref="L39:M39"/>
    <mergeCell ref="J36:K36"/>
    <mergeCell ref="B3:H3"/>
    <mergeCell ref="L45:M45"/>
    <mergeCell ref="J35:N35"/>
    <mergeCell ref="B18:H18"/>
    <mergeCell ref="L51:M51"/>
    <mergeCell ref="L38:M38"/>
    <mergeCell ref="J41:K41"/>
    <mergeCell ref="L50:M50"/>
    <mergeCell ref="E29:H29"/>
    <mergeCell ref="L41:M41"/>
    <mergeCell ref="L44:M44"/>
    <mergeCell ref="B2:N2"/>
    <mergeCell ref="E28:H28"/>
    <mergeCell ref="L40:M40"/>
    <mergeCell ref="J47:K47"/>
    <mergeCell ref="J43:K43"/>
    <mergeCell ref="D15:H15"/>
    <mergeCell ref="F19:H19"/>
    <mergeCell ref="E31:H31"/>
    <mergeCell ref="J46:K46"/>
    <mergeCell ref="J50:K50"/>
    <mergeCell ref="L46:M46"/>
    <mergeCell ref="J42:K42"/>
    <mergeCell ref="E30:H30"/>
    <mergeCell ref="J51:K51"/>
    <mergeCell ref="L49:M49"/>
    <mergeCell ref="L36:M36"/>
    <mergeCell ref="F21:H21"/>
    <mergeCell ref="E27:H27"/>
    <mergeCell ref="J48:K4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17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5" customHeight="1"/>
    <row r="2" ht="32" customHeight="1">
      <c r="B2" s="17" t="inlineStr">
        <is>
          <t>AMD Financial Charts — Executive View</t>
        </is>
      </c>
    </row>
    <row r="3" ht="16" customHeight="1">
      <c r="B3" s="18" t="inlineStr">
        <is>
          <t>Native Excel charts — these mirror the visualizations you should build in Power BI</t>
        </is>
      </c>
    </row>
    <row r="174">
      <c r="B174" s="84" t="inlineStr">
        <is>
          <t>These 8 charts mirror the recommended Power BI layout. See AMD_PowerBI_Guide.pdf for the full visual blueprint.</t>
        </is>
      </c>
    </row>
  </sheetData>
  <mergeCells count="3">
    <mergeCell ref="B2:L2"/>
    <mergeCell ref="B174:L174"/>
    <mergeCell ref="B3:L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3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2" customWidth="1" min="4" max="4"/>
    <col width="40" customWidth="1" min="5" max="5"/>
    <col width="16" customWidth="1" min="6" max="6"/>
    <col width="14" customWidth="1" min="7" max="7"/>
  </cols>
  <sheetData>
    <row r="1" ht="15" customHeight="1"/>
    <row r="2" ht="32" customHeight="1">
      <c r="B2" s="17" t="inlineStr">
        <is>
          <t>Power BI Data — Long Format Fact Table (ready for import)</t>
        </is>
      </c>
    </row>
    <row r="3" ht="16" customHeight="1">
      <c r="B3" s="18" t="inlineStr">
        <is>
          <t>Each row = one observation (Year × Statement × Segment × Metric). Import this sheet directly into Power BI Desktop.</t>
        </is>
      </c>
    </row>
    <row r="4" ht="28" customHeight="1">
      <c r="B4" s="19" t="inlineStr">
        <is>
          <t>Year</t>
        </is>
      </c>
      <c r="C4" s="19" t="inlineStr">
        <is>
          <t>Statement</t>
        </is>
      </c>
      <c r="D4" s="19" t="inlineStr">
        <is>
          <t>Segment</t>
        </is>
      </c>
      <c r="E4" s="19" t="inlineStr">
        <is>
          <t>Metric</t>
        </is>
      </c>
      <c r="F4" s="19" t="inlineStr">
        <is>
          <t>Value</t>
        </is>
      </c>
      <c r="G4" s="19" t="inlineStr">
        <is>
          <t>Unit</t>
        </is>
      </c>
    </row>
    <row r="5" ht="18" customHeight="1">
      <c r="B5" s="55" t="inlineStr">
        <is>
          <t>FY2020</t>
        </is>
      </c>
      <c r="C5" s="20" t="inlineStr">
        <is>
          <t>Income Statement</t>
        </is>
      </c>
      <c r="D5" s="20" t="inlineStr">
        <is>
          <t>Consolidated</t>
        </is>
      </c>
      <c r="E5" s="20" t="inlineStr">
        <is>
          <t>Net revenue</t>
        </is>
      </c>
      <c r="F5" s="21" t="n">
        <v>9763</v>
      </c>
      <c r="G5" s="20" t="inlineStr">
        <is>
          <t>$M</t>
        </is>
      </c>
    </row>
    <row r="6" ht="18" customHeight="1">
      <c r="B6" s="57" t="inlineStr">
        <is>
          <t>FY2021</t>
        </is>
      </c>
      <c r="C6" s="22" t="inlineStr">
        <is>
          <t>Income Statement</t>
        </is>
      </c>
      <c r="D6" s="22" t="inlineStr">
        <is>
          <t>Consolidated</t>
        </is>
      </c>
      <c r="E6" s="22" t="inlineStr">
        <is>
          <t>Net revenue</t>
        </is>
      </c>
      <c r="F6" s="23" t="n">
        <v>16434</v>
      </c>
      <c r="G6" s="22" t="inlineStr">
        <is>
          <t>$M</t>
        </is>
      </c>
    </row>
    <row r="7" ht="18" customHeight="1">
      <c r="B7" s="55" t="inlineStr">
        <is>
          <t>FY2022</t>
        </is>
      </c>
      <c r="C7" s="20" t="inlineStr">
        <is>
          <t>Income Statement</t>
        </is>
      </c>
      <c r="D7" s="20" t="inlineStr">
        <is>
          <t>Consolidated</t>
        </is>
      </c>
      <c r="E7" s="20" t="inlineStr">
        <is>
          <t>Net revenue</t>
        </is>
      </c>
      <c r="F7" s="21" t="n">
        <v>23601</v>
      </c>
      <c r="G7" s="20" t="inlineStr">
        <is>
          <t>$M</t>
        </is>
      </c>
    </row>
    <row r="8" ht="18" customHeight="1">
      <c r="B8" s="57" t="inlineStr">
        <is>
          <t>FY2023</t>
        </is>
      </c>
      <c r="C8" s="22" t="inlineStr">
        <is>
          <t>Income Statement</t>
        </is>
      </c>
      <c r="D8" s="22" t="inlineStr">
        <is>
          <t>Consolidated</t>
        </is>
      </c>
      <c r="E8" s="22" t="inlineStr">
        <is>
          <t>Net revenue</t>
        </is>
      </c>
      <c r="F8" s="23" t="n">
        <v>22680</v>
      </c>
      <c r="G8" s="22" t="inlineStr">
        <is>
          <t>$M</t>
        </is>
      </c>
    </row>
    <row r="9" ht="18" customHeight="1">
      <c r="B9" s="55" t="inlineStr">
        <is>
          <t>FY2024</t>
        </is>
      </c>
      <c r="C9" s="20" t="inlineStr">
        <is>
          <t>Income Statement</t>
        </is>
      </c>
      <c r="D9" s="20" t="inlineStr">
        <is>
          <t>Consolidated</t>
        </is>
      </c>
      <c r="E9" s="20" t="inlineStr">
        <is>
          <t>Net revenue</t>
        </is>
      </c>
      <c r="F9" s="21" t="n">
        <v>25785</v>
      </c>
      <c r="G9" s="20" t="inlineStr">
        <is>
          <t>$M</t>
        </is>
      </c>
    </row>
    <row r="10" ht="18" customHeight="1">
      <c r="B10" s="57" t="inlineStr">
        <is>
          <t>FY2025</t>
        </is>
      </c>
      <c r="C10" s="22" t="inlineStr">
        <is>
          <t>Income Statement</t>
        </is>
      </c>
      <c r="D10" s="22" t="inlineStr">
        <is>
          <t>Consolidated</t>
        </is>
      </c>
      <c r="E10" s="22" t="inlineStr">
        <is>
          <t>Net revenue</t>
        </is>
      </c>
      <c r="F10" s="23" t="n">
        <v>34639</v>
      </c>
      <c r="G10" s="22" t="inlineStr">
        <is>
          <t>$M</t>
        </is>
      </c>
    </row>
    <row r="11" ht="18" customHeight="1">
      <c r="B11" s="55" t="inlineStr">
        <is>
          <t>FY2020</t>
        </is>
      </c>
      <c r="C11" s="20" t="inlineStr">
        <is>
          <t>Income Statement</t>
        </is>
      </c>
      <c r="D11" s="20" t="inlineStr">
        <is>
          <t>Consolidated</t>
        </is>
      </c>
      <c r="E11" s="20" t="inlineStr">
        <is>
          <t>Cost of sales</t>
        </is>
      </c>
      <c r="F11" s="21" t="n">
        <v>5416</v>
      </c>
      <c r="G11" s="20" t="inlineStr">
        <is>
          <t>$M</t>
        </is>
      </c>
    </row>
    <row r="12" ht="18" customHeight="1">
      <c r="B12" s="57" t="inlineStr">
        <is>
          <t>FY2021</t>
        </is>
      </c>
      <c r="C12" s="22" t="inlineStr">
        <is>
          <t>Income Statement</t>
        </is>
      </c>
      <c r="D12" s="22" t="inlineStr">
        <is>
          <t>Consolidated</t>
        </is>
      </c>
      <c r="E12" s="22" t="inlineStr">
        <is>
          <t>Cost of sales</t>
        </is>
      </c>
      <c r="F12" s="23" t="n">
        <v>8505</v>
      </c>
      <c r="G12" s="22" t="inlineStr">
        <is>
          <t>$M</t>
        </is>
      </c>
    </row>
    <row r="13" ht="18" customHeight="1">
      <c r="B13" s="55" t="inlineStr">
        <is>
          <t>FY2022</t>
        </is>
      </c>
      <c r="C13" s="20" t="inlineStr">
        <is>
          <t>Income Statement</t>
        </is>
      </c>
      <c r="D13" s="20" t="inlineStr">
        <is>
          <t>Consolidated</t>
        </is>
      </c>
      <c r="E13" s="20" t="inlineStr">
        <is>
          <t>Cost of sales</t>
        </is>
      </c>
      <c r="F13" s="21" t="n">
        <v>11550</v>
      </c>
      <c r="G13" s="20" t="inlineStr">
        <is>
          <t>$M</t>
        </is>
      </c>
    </row>
    <row r="14" ht="18" customHeight="1">
      <c r="B14" s="57" t="inlineStr">
        <is>
          <t>FY2023</t>
        </is>
      </c>
      <c r="C14" s="22" t="inlineStr">
        <is>
          <t>Income Statement</t>
        </is>
      </c>
      <c r="D14" s="22" t="inlineStr">
        <is>
          <t>Consolidated</t>
        </is>
      </c>
      <c r="E14" s="22" t="inlineStr">
        <is>
          <t>Cost of sales</t>
        </is>
      </c>
      <c r="F14" s="23" t="n">
        <v>11278</v>
      </c>
      <c r="G14" s="22" t="inlineStr">
        <is>
          <t>$M</t>
        </is>
      </c>
    </row>
    <row r="15" ht="18" customHeight="1">
      <c r="B15" s="55" t="inlineStr">
        <is>
          <t>FY2024</t>
        </is>
      </c>
      <c r="C15" s="20" t="inlineStr">
        <is>
          <t>Income Statement</t>
        </is>
      </c>
      <c r="D15" s="20" t="inlineStr">
        <is>
          <t>Consolidated</t>
        </is>
      </c>
      <c r="E15" s="20" t="inlineStr">
        <is>
          <t>Cost of sales</t>
        </is>
      </c>
      <c r="F15" s="21" t="n">
        <v>12114</v>
      </c>
      <c r="G15" s="20" t="inlineStr">
        <is>
          <t>$M</t>
        </is>
      </c>
    </row>
    <row r="16" ht="18" customHeight="1">
      <c r="B16" s="57" t="inlineStr">
        <is>
          <t>FY2025</t>
        </is>
      </c>
      <c r="C16" s="22" t="inlineStr">
        <is>
          <t>Income Statement</t>
        </is>
      </c>
      <c r="D16" s="22" t="inlineStr">
        <is>
          <t>Consolidated</t>
        </is>
      </c>
      <c r="E16" s="22" t="inlineStr">
        <is>
          <t>Cost of sales</t>
        </is>
      </c>
      <c r="F16" s="23" t="n">
        <v>16456</v>
      </c>
      <c r="G16" s="22" t="inlineStr">
        <is>
          <t>$M</t>
        </is>
      </c>
    </row>
    <row r="17" ht="18" customHeight="1">
      <c r="B17" s="55" t="inlineStr">
        <is>
          <t>FY2020</t>
        </is>
      </c>
      <c r="C17" s="20" t="inlineStr">
        <is>
          <t>Income Statement</t>
        </is>
      </c>
      <c r="D17" s="20" t="inlineStr">
        <is>
          <t>Consolidated</t>
        </is>
      </c>
      <c r="E17" s="20" t="inlineStr">
        <is>
          <t>Gross profit</t>
        </is>
      </c>
      <c r="F17" s="21" t="n">
        <v>4347</v>
      </c>
      <c r="G17" s="20" t="inlineStr">
        <is>
          <t>$M</t>
        </is>
      </c>
    </row>
    <row r="18" ht="18" customHeight="1">
      <c r="B18" s="57" t="inlineStr">
        <is>
          <t>FY2021</t>
        </is>
      </c>
      <c r="C18" s="22" t="inlineStr">
        <is>
          <t>Income Statement</t>
        </is>
      </c>
      <c r="D18" s="22" t="inlineStr">
        <is>
          <t>Consolidated</t>
        </is>
      </c>
      <c r="E18" s="22" t="inlineStr">
        <is>
          <t>Gross profit</t>
        </is>
      </c>
      <c r="F18" s="23" t="n">
        <v>7929</v>
      </c>
      <c r="G18" s="22" t="inlineStr">
        <is>
          <t>$M</t>
        </is>
      </c>
    </row>
    <row r="19" ht="18" customHeight="1">
      <c r="B19" s="55" t="inlineStr">
        <is>
          <t>FY2022</t>
        </is>
      </c>
      <c r="C19" s="20" t="inlineStr">
        <is>
          <t>Income Statement</t>
        </is>
      </c>
      <c r="D19" s="20" t="inlineStr">
        <is>
          <t>Consolidated</t>
        </is>
      </c>
      <c r="E19" s="20" t="inlineStr">
        <is>
          <t>Gross profit</t>
        </is>
      </c>
      <c r="F19" s="21" t="n">
        <v>10603</v>
      </c>
      <c r="G19" s="20" t="inlineStr">
        <is>
          <t>$M</t>
        </is>
      </c>
    </row>
    <row r="20" ht="18" customHeight="1">
      <c r="B20" s="57" t="inlineStr">
        <is>
          <t>FY2023</t>
        </is>
      </c>
      <c r="C20" s="22" t="inlineStr">
        <is>
          <t>Income Statement</t>
        </is>
      </c>
      <c r="D20" s="22" t="inlineStr">
        <is>
          <t>Consolidated</t>
        </is>
      </c>
      <c r="E20" s="22" t="inlineStr">
        <is>
          <t>Gross profit</t>
        </is>
      </c>
      <c r="F20" s="23" t="n">
        <v>10460</v>
      </c>
      <c r="G20" s="22" t="inlineStr">
        <is>
          <t>$M</t>
        </is>
      </c>
    </row>
    <row r="21" ht="18" customHeight="1">
      <c r="B21" s="55" t="inlineStr">
        <is>
          <t>FY2024</t>
        </is>
      </c>
      <c r="C21" s="20" t="inlineStr">
        <is>
          <t>Income Statement</t>
        </is>
      </c>
      <c r="D21" s="20" t="inlineStr">
        <is>
          <t>Consolidated</t>
        </is>
      </c>
      <c r="E21" s="20" t="inlineStr">
        <is>
          <t>Gross profit</t>
        </is>
      </c>
      <c r="F21" s="21" t="n">
        <v>12725</v>
      </c>
      <c r="G21" s="20" t="inlineStr">
        <is>
          <t>$M</t>
        </is>
      </c>
    </row>
    <row r="22" ht="18" customHeight="1">
      <c r="B22" s="57" t="inlineStr">
        <is>
          <t>FY2025</t>
        </is>
      </c>
      <c r="C22" s="22" t="inlineStr">
        <is>
          <t>Income Statement</t>
        </is>
      </c>
      <c r="D22" s="22" t="inlineStr">
        <is>
          <t>Consolidated</t>
        </is>
      </c>
      <c r="E22" s="22" t="inlineStr">
        <is>
          <t>Gross profit</t>
        </is>
      </c>
      <c r="F22" s="23" t="n">
        <v>17152</v>
      </c>
      <c r="G22" s="22" t="inlineStr">
        <is>
          <t>$M</t>
        </is>
      </c>
    </row>
    <row r="23" ht="18" customHeight="1">
      <c r="B23" s="55" t="inlineStr">
        <is>
          <t>FY2020</t>
        </is>
      </c>
      <c r="C23" s="20" t="inlineStr">
        <is>
          <t>Income Statement</t>
        </is>
      </c>
      <c r="D23" s="20" t="inlineStr">
        <is>
          <t>Consolidated</t>
        </is>
      </c>
      <c r="E23" s="20" t="inlineStr">
        <is>
          <t>Research and development</t>
        </is>
      </c>
      <c r="F23" s="21" t="n">
        <v>1983</v>
      </c>
      <c r="G23" s="20" t="inlineStr">
        <is>
          <t>$M</t>
        </is>
      </c>
    </row>
    <row r="24" ht="18" customHeight="1">
      <c r="B24" s="57" t="inlineStr">
        <is>
          <t>FY2021</t>
        </is>
      </c>
      <c r="C24" s="22" t="inlineStr">
        <is>
          <t>Income Statement</t>
        </is>
      </c>
      <c r="D24" s="22" t="inlineStr">
        <is>
          <t>Consolidated</t>
        </is>
      </c>
      <c r="E24" s="22" t="inlineStr">
        <is>
          <t>Research and development</t>
        </is>
      </c>
      <c r="F24" s="23" t="n">
        <v>2845</v>
      </c>
      <c r="G24" s="22" t="inlineStr">
        <is>
          <t>$M</t>
        </is>
      </c>
    </row>
    <row r="25" ht="18" customHeight="1">
      <c r="B25" s="55" t="inlineStr">
        <is>
          <t>FY2022</t>
        </is>
      </c>
      <c r="C25" s="20" t="inlineStr">
        <is>
          <t>Income Statement</t>
        </is>
      </c>
      <c r="D25" s="20" t="inlineStr">
        <is>
          <t>Consolidated</t>
        </is>
      </c>
      <c r="E25" s="20" t="inlineStr">
        <is>
          <t>Research and development</t>
        </is>
      </c>
      <c r="F25" s="21" t="n">
        <v>5005</v>
      </c>
      <c r="G25" s="20" t="inlineStr">
        <is>
          <t>$M</t>
        </is>
      </c>
    </row>
    <row r="26" ht="18" customHeight="1">
      <c r="B26" s="57" t="inlineStr">
        <is>
          <t>FY2023</t>
        </is>
      </c>
      <c r="C26" s="22" t="inlineStr">
        <is>
          <t>Income Statement</t>
        </is>
      </c>
      <c r="D26" s="22" t="inlineStr">
        <is>
          <t>Consolidated</t>
        </is>
      </c>
      <c r="E26" s="22" t="inlineStr">
        <is>
          <t>Research and development</t>
        </is>
      </c>
      <c r="F26" s="23" t="n">
        <v>5872</v>
      </c>
      <c r="G26" s="22" t="inlineStr">
        <is>
          <t>$M</t>
        </is>
      </c>
    </row>
    <row r="27" ht="18" customHeight="1">
      <c r="B27" s="55" t="inlineStr">
        <is>
          <t>FY2024</t>
        </is>
      </c>
      <c r="C27" s="20" t="inlineStr">
        <is>
          <t>Income Statement</t>
        </is>
      </c>
      <c r="D27" s="20" t="inlineStr">
        <is>
          <t>Consolidated</t>
        </is>
      </c>
      <c r="E27" s="20" t="inlineStr">
        <is>
          <t>Research and development</t>
        </is>
      </c>
      <c r="F27" s="21" t="n">
        <v>6456</v>
      </c>
      <c r="G27" s="20" t="inlineStr">
        <is>
          <t>$M</t>
        </is>
      </c>
    </row>
    <row r="28" ht="18" customHeight="1">
      <c r="B28" s="57" t="inlineStr">
        <is>
          <t>FY2025</t>
        </is>
      </c>
      <c r="C28" s="22" t="inlineStr">
        <is>
          <t>Income Statement</t>
        </is>
      </c>
      <c r="D28" s="22" t="inlineStr">
        <is>
          <t>Consolidated</t>
        </is>
      </c>
      <c r="E28" s="22" t="inlineStr">
        <is>
          <t>Research and development</t>
        </is>
      </c>
      <c r="F28" s="23" t="n">
        <v>8091</v>
      </c>
      <c r="G28" s="22" t="inlineStr">
        <is>
          <t>$M</t>
        </is>
      </c>
    </row>
    <row r="29" ht="18" customHeight="1">
      <c r="B29" s="55" t="inlineStr">
        <is>
          <t>FY2020</t>
        </is>
      </c>
      <c r="C29" s="20" t="inlineStr">
        <is>
          <t>Income Statement</t>
        </is>
      </c>
      <c r="D29" s="20" t="inlineStr">
        <is>
          <t>Consolidated</t>
        </is>
      </c>
      <c r="E29" s="20" t="inlineStr">
        <is>
          <t>MG&amp;A</t>
        </is>
      </c>
      <c r="F29" s="21" t="n">
        <v>995</v>
      </c>
      <c r="G29" s="20" t="inlineStr">
        <is>
          <t>$M</t>
        </is>
      </c>
    </row>
    <row r="30" ht="18" customHeight="1">
      <c r="B30" s="57" t="inlineStr">
        <is>
          <t>FY2021</t>
        </is>
      </c>
      <c r="C30" s="22" t="inlineStr">
        <is>
          <t>Income Statement</t>
        </is>
      </c>
      <c r="D30" s="22" t="inlineStr">
        <is>
          <t>Consolidated</t>
        </is>
      </c>
      <c r="E30" s="22" t="inlineStr">
        <is>
          <t>MG&amp;A</t>
        </is>
      </c>
      <c r="F30" s="23" t="n">
        <v>1436</v>
      </c>
      <c r="G30" s="22" t="inlineStr">
        <is>
          <t>$M</t>
        </is>
      </c>
    </row>
    <row r="31" ht="18" customHeight="1">
      <c r="B31" s="55" t="inlineStr">
        <is>
          <t>FY2022</t>
        </is>
      </c>
      <c r="C31" s="20" t="inlineStr">
        <is>
          <t>Income Statement</t>
        </is>
      </c>
      <c r="D31" s="20" t="inlineStr">
        <is>
          <t>Consolidated</t>
        </is>
      </c>
      <c r="E31" s="20" t="inlineStr">
        <is>
          <t>MG&amp;A</t>
        </is>
      </c>
      <c r="F31" s="21" t="n">
        <v>2234</v>
      </c>
      <c r="G31" s="20" t="inlineStr">
        <is>
          <t>$M</t>
        </is>
      </c>
    </row>
    <row r="32" ht="18" customHeight="1">
      <c r="B32" s="57" t="inlineStr">
        <is>
          <t>FY2023</t>
        </is>
      </c>
      <c r="C32" s="22" t="inlineStr">
        <is>
          <t>Income Statement</t>
        </is>
      </c>
      <c r="D32" s="22" t="inlineStr">
        <is>
          <t>Consolidated</t>
        </is>
      </c>
      <c r="E32" s="22" t="inlineStr">
        <is>
          <t>MG&amp;A</t>
        </is>
      </c>
      <c r="F32" s="23" t="n">
        <v>2318</v>
      </c>
      <c r="G32" s="22" t="inlineStr">
        <is>
          <t>$M</t>
        </is>
      </c>
    </row>
    <row r="33" ht="18" customHeight="1">
      <c r="B33" s="55" t="inlineStr">
        <is>
          <t>FY2024</t>
        </is>
      </c>
      <c r="C33" s="20" t="inlineStr">
        <is>
          <t>Income Statement</t>
        </is>
      </c>
      <c r="D33" s="20" t="inlineStr">
        <is>
          <t>Consolidated</t>
        </is>
      </c>
      <c r="E33" s="20" t="inlineStr">
        <is>
          <t>MG&amp;A</t>
        </is>
      </c>
      <c r="F33" s="21" t="n">
        <v>2735</v>
      </c>
      <c r="G33" s="20" t="inlineStr">
        <is>
          <t>$M</t>
        </is>
      </c>
    </row>
    <row r="34" ht="18" customHeight="1">
      <c r="B34" s="57" t="inlineStr">
        <is>
          <t>FY2025</t>
        </is>
      </c>
      <c r="C34" s="22" t="inlineStr">
        <is>
          <t>Income Statement</t>
        </is>
      </c>
      <c r="D34" s="22" t="inlineStr">
        <is>
          <t>Consolidated</t>
        </is>
      </c>
      <c r="E34" s="22" t="inlineStr">
        <is>
          <t>MG&amp;A</t>
        </is>
      </c>
      <c r="F34" s="23" t="n">
        <v>4144</v>
      </c>
      <c r="G34" s="22" t="inlineStr">
        <is>
          <t>$M</t>
        </is>
      </c>
    </row>
    <row r="35" ht="18" customHeight="1">
      <c r="B35" s="55" t="inlineStr">
        <is>
          <t>FY2020</t>
        </is>
      </c>
      <c r="C35" s="20" t="inlineStr">
        <is>
          <t>Income Statement</t>
        </is>
      </c>
      <c r="D35" s="20" t="inlineStr">
        <is>
          <t>Consolidated</t>
        </is>
      </c>
      <c r="E35" s="20" t="inlineStr">
        <is>
          <t>Total operating expenses</t>
        </is>
      </c>
      <c r="F35" s="21" t="n">
        <v>2978</v>
      </c>
      <c r="G35" s="20" t="inlineStr">
        <is>
          <t>$M</t>
        </is>
      </c>
    </row>
    <row r="36" ht="18" customHeight="1">
      <c r="B36" s="57" t="inlineStr">
        <is>
          <t>FY2021</t>
        </is>
      </c>
      <c r="C36" s="22" t="inlineStr">
        <is>
          <t>Income Statement</t>
        </is>
      </c>
      <c r="D36" s="22" t="inlineStr">
        <is>
          <t>Consolidated</t>
        </is>
      </c>
      <c r="E36" s="22" t="inlineStr">
        <is>
          <t>Total operating expenses</t>
        </is>
      </c>
      <c r="F36" s="23" t="n">
        <v>4281</v>
      </c>
      <c r="G36" s="22" t="inlineStr">
        <is>
          <t>$M</t>
        </is>
      </c>
    </row>
    <row r="37" ht="18" customHeight="1">
      <c r="B37" s="55" t="inlineStr">
        <is>
          <t>FY2022</t>
        </is>
      </c>
      <c r="C37" s="20" t="inlineStr">
        <is>
          <t>Income Statement</t>
        </is>
      </c>
      <c r="D37" s="20" t="inlineStr">
        <is>
          <t>Consolidated</t>
        </is>
      </c>
      <c r="E37" s="20" t="inlineStr">
        <is>
          <t>Total operating expenses</t>
        </is>
      </c>
      <c r="F37" s="21" t="n">
        <v>9339</v>
      </c>
      <c r="G37" s="20" t="inlineStr">
        <is>
          <t>$M</t>
        </is>
      </c>
    </row>
    <row r="38" ht="18" customHeight="1">
      <c r="B38" s="57" t="inlineStr">
        <is>
          <t>FY2023</t>
        </is>
      </c>
      <c r="C38" s="22" t="inlineStr">
        <is>
          <t>Income Statement</t>
        </is>
      </c>
      <c r="D38" s="22" t="inlineStr">
        <is>
          <t>Consolidated</t>
        </is>
      </c>
      <c r="E38" s="22" t="inlineStr">
        <is>
          <t>Total operating expenses</t>
        </is>
      </c>
      <c r="F38" s="23" t="n">
        <v>10059</v>
      </c>
      <c r="G38" s="22" t="inlineStr">
        <is>
          <t>$M</t>
        </is>
      </c>
    </row>
    <row r="39" ht="18" customHeight="1">
      <c r="B39" s="55" t="inlineStr">
        <is>
          <t>FY2024</t>
        </is>
      </c>
      <c r="C39" s="20" t="inlineStr">
        <is>
          <t>Income Statement</t>
        </is>
      </c>
      <c r="D39" s="20" t="inlineStr">
        <is>
          <t>Consolidated</t>
        </is>
      </c>
      <c r="E39" s="20" t="inlineStr">
        <is>
          <t>Total operating expenses</t>
        </is>
      </c>
      <c r="F39" s="21" t="n">
        <v>10825</v>
      </c>
      <c r="G39" s="20" t="inlineStr">
        <is>
          <t>$M</t>
        </is>
      </c>
    </row>
    <row r="40" ht="18" customHeight="1">
      <c r="B40" s="57" t="inlineStr">
        <is>
          <t>FY2025</t>
        </is>
      </c>
      <c r="C40" s="22" t="inlineStr">
        <is>
          <t>Income Statement</t>
        </is>
      </c>
      <c r="D40" s="22" t="inlineStr">
        <is>
          <t>Consolidated</t>
        </is>
      </c>
      <c r="E40" s="22" t="inlineStr">
        <is>
          <t>Total operating expenses</t>
        </is>
      </c>
      <c r="F40" s="23" t="n">
        <v>13458</v>
      </c>
      <c r="G40" s="22" t="inlineStr">
        <is>
          <t>$M</t>
        </is>
      </c>
    </row>
    <row r="41" ht="18" customHeight="1">
      <c r="B41" s="55" t="inlineStr">
        <is>
          <t>FY2020</t>
        </is>
      </c>
      <c r="C41" s="20" t="inlineStr">
        <is>
          <t>Income Statement</t>
        </is>
      </c>
      <c r="D41" s="20" t="inlineStr">
        <is>
          <t>Consolidated</t>
        </is>
      </c>
      <c r="E41" s="20" t="inlineStr">
        <is>
          <t>Operating income</t>
        </is>
      </c>
      <c r="F41" s="21" t="n">
        <v>1369</v>
      </c>
      <c r="G41" s="20" t="inlineStr">
        <is>
          <t>$M</t>
        </is>
      </c>
    </row>
    <row r="42" ht="18" customHeight="1">
      <c r="B42" s="57" t="inlineStr">
        <is>
          <t>FY2021</t>
        </is>
      </c>
      <c r="C42" s="22" t="inlineStr">
        <is>
          <t>Income Statement</t>
        </is>
      </c>
      <c r="D42" s="22" t="inlineStr">
        <is>
          <t>Consolidated</t>
        </is>
      </c>
      <c r="E42" s="22" t="inlineStr">
        <is>
          <t>Operating income</t>
        </is>
      </c>
      <c r="F42" s="23" t="n">
        <v>3648</v>
      </c>
      <c r="G42" s="22" t="inlineStr">
        <is>
          <t>$M</t>
        </is>
      </c>
    </row>
    <row r="43" ht="18" customHeight="1">
      <c r="B43" s="55" t="inlineStr">
        <is>
          <t>FY2022</t>
        </is>
      </c>
      <c r="C43" s="20" t="inlineStr">
        <is>
          <t>Income Statement</t>
        </is>
      </c>
      <c r="D43" s="20" t="inlineStr">
        <is>
          <t>Consolidated</t>
        </is>
      </c>
      <c r="E43" s="20" t="inlineStr">
        <is>
          <t>Operating income</t>
        </is>
      </c>
      <c r="F43" s="21" t="n">
        <v>1264</v>
      </c>
      <c r="G43" s="20" t="inlineStr">
        <is>
          <t>$M</t>
        </is>
      </c>
    </row>
    <row r="44" ht="18" customHeight="1">
      <c r="B44" s="57" t="inlineStr">
        <is>
          <t>FY2023</t>
        </is>
      </c>
      <c r="C44" s="22" t="inlineStr">
        <is>
          <t>Income Statement</t>
        </is>
      </c>
      <c r="D44" s="22" t="inlineStr">
        <is>
          <t>Consolidated</t>
        </is>
      </c>
      <c r="E44" s="22" t="inlineStr">
        <is>
          <t>Operating income</t>
        </is>
      </c>
      <c r="F44" s="23" t="n">
        <v>401</v>
      </c>
      <c r="G44" s="22" t="inlineStr">
        <is>
          <t>$M</t>
        </is>
      </c>
    </row>
    <row r="45" ht="18" customHeight="1">
      <c r="B45" s="55" t="inlineStr">
        <is>
          <t>FY2024</t>
        </is>
      </c>
      <c r="C45" s="20" t="inlineStr">
        <is>
          <t>Income Statement</t>
        </is>
      </c>
      <c r="D45" s="20" t="inlineStr">
        <is>
          <t>Consolidated</t>
        </is>
      </c>
      <c r="E45" s="20" t="inlineStr">
        <is>
          <t>Operating income</t>
        </is>
      </c>
      <c r="F45" s="21" t="n">
        <v>1900</v>
      </c>
      <c r="G45" s="20" t="inlineStr">
        <is>
          <t>$M</t>
        </is>
      </c>
    </row>
    <row r="46" ht="18" customHeight="1">
      <c r="B46" s="57" t="inlineStr">
        <is>
          <t>FY2025</t>
        </is>
      </c>
      <c r="C46" s="22" t="inlineStr">
        <is>
          <t>Income Statement</t>
        </is>
      </c>
      <c r="D46" s="22" t="inlineStr">
        <is>
          <t>Consolidated</t>
        </is>
      </c>
      <c r="E46" s="22" t="inlineStr">
        <is>
          <t>Operating income</t>
        </is>
      </c>
      <c r="F46" s="23" t="n">
        <v>3694</v>
      </c>
      <c r="G46" s="22" t="inlineStr">
        <is>
          <t>$M</t>
        </is>
      </c>
    </row>
    <row r="47" ht="18" customHeight="1">
      <c r="B47" s="55" t="inlineStr">
        <is>
          <t>FY2020</t>
        </is>
      </c>
      <c r="C47" s="20" t="inlineStr">
        <is>
          <t>Income Statement</t>
        </is>
      </c>
      <c r="D47" s="20" t="inlineStr">
        <is>
          <t>Consolidated</t>
        </is>
      </c>
      <c r="E47" s="20" t="inlineStr">
        <is>
          <t>Net income</t>
        </is>
      </c>
      <c r="F47" s="21" t="n">
        <v>2490</v>
      </c>
      <c r="G47" s="20" t="inlineStr">
        <is>
          <t>$M</t>
        </is>
      </c>
    </row>
    <row r="48" ht="18" customHeight="1">
      <c r="B48" s="57" t="inlineStr">
        <is>
          <t>FY2021</t>
        </is>
      </c>
      <c r="C48" s="22" t="inlineStr">
        <is>
          <t>Income Statement</t>
        </is>
      </c>
      <c r="D48" s="22" t="inlineStr">
        <is>
          <t>Consolidated</t>
        </is>
      </c>
      <c r="E48" s="22" t="inlineStr">
        <is>
          <t>Net income</t>
        </is>
      </c>
      <c r="F48" s="23" t="n">
        <v>3162</v>
      </c>
      <c r="G48" s="22" t="inlineStr">
        <is>
          <t>$M</t>
        </is>
      </c>
    </row>
    <row r="49" ht="18" customHeight="1">
      <c r="B49" s="55" t="inlineStr">
        <is>
          <t>FY2022</t>
        </is>
      </c>
      <c r="C49" s="20" t="inlineStr">
        <is>
          <t>Income Statement</t>
        </is>
      </c>
      <c r="D49" s="20" t="inlineStr">
        <is>
          <t>Consolidated</t>
        </is>
      </c>
      <c r="E49" s="20" t="inlineStr">
        <is>
          <t>Net income</t>
        </is>
      </c>
      <c r="F49" s="21" t="n">
        <v>1320</v>
      </c>
      <c r="G49" s="20" t="inlineStr">
        <is>
          <t>$M</t>
        </is>
      </c>
    </row>
    <row r="50" ht="18" customHeight="1">
      <c r="B50" s="57" t="inlineStr">
        <is>
          <t>FY2023</t>
        </is>
      </c>
      <c r="C50" s="22" t="inlineStr">
        <is>
          <t>Income Statement</t>
        </is>
      </c>
      <c r="D50" s="22" t="inlineStr">
        <is>
          <t>Consolidated</t>
        </is>
      </c>
      <c r="E50" s="22" t="inlineStr">
        <is>
          <t>Net income</t>
        </is>
      </c>
      <c r="F50" s="23" t="n">
        <v>854</v>
      </c>
      <c r="G50" s="22" t="inlineStr">
        <is>
          <t>$M</t>
        </is>
      </c>
    </row>
    <row r="51" ht="18" customHeight="1">
      <c r="B51" s="55" t="inlineStr">
        <is>
          <t>FY2024</t>
        </is>
      </c>
      <c r="C51" s="20" t="inlineStr">
        <is>
          <t>Income Statement</t>
        </is>
      </c>
      <c r="D51" s="20" t="inlineStr">
        <is>
          <t>Consolidated</t>
        </is>
      </c>
      <c r="E51" s="20" t="inlineStr">
        <is>
          <t>Net income</t>
        </is>
      </c>
      <c r="F51" s="21" t="n">
        <v>1641</v>
      </c>
      <c r="G51" s="20" t="inlineStr">
        <is>
          <t>$M</t>
        </is>
      </c>
    </row>
    <row r="52" ht="18" customHeight="1">
      <c r="B52" s="57" t="inlineStr">
        <is>
          <t>FY2025</t>
        </is>
      </c>
      <c r="C52" s="22" t="inlineStr">
        <is>
          <t>Income Statement</t>
        </is>
      </c>
      <c r="D52" s="22" t="inlineStr">
        <is>
          <t>Consolidated</t>
        </is>
      </c>
      <c r="E52" s="22" t="inlineStr">
        <is>
          <t>Net income</t>
        </is>
      </c>
      <c r="F52" s="23" t="n">
        <v>4335</v>
      </c>
      <c r="G52" s="22" t="inlineStr">
        <is>
          <t>$M</t>
        </is>
      </c>
    </row>
    <row r="53" ht="18" customHeight="1">
      <c r="B53" s="55" t="inlineStr">
        <is>
          <t>FY2020</t>
        </is>
      </c>
      <c r="C53" s="20" t="inlineStr">
        <is>
          <t>Income Statement</t>
        </is>
      </c>
      <c r="D53" s="20" t="inlineStr">
        <is>
          <t>Consolidated</t>
        </is>
      </c>
      <c r="E53" s="20" t="inlineStr">
        <is>
          <t>EPS diluted</t>
        </is>
      </c>
      <c r="F53" s="28" t="n">
        <v>2.06</v>
      </c>
      <c r="G53" s="20" t="inlineStr">
        <is>
          <t>$</t>
        </is>
      </c>
    </row>
    <row r="54" ht="18" customHeight="1">
      <c r="B54" s="57" t="inlineStr">
        <is>
          <t>FY2021</t>
        </is>
      </c>
      <c r="C54" s="22" t="inlineStr">
        <is>
          <t>Income Statement</t>
        </is>
      </c>
      <c r="D54" s="22" t="inlineStr">
        <is>
          <t>Consolidated</t>
        </is>
      </c>
      <c r="E54" s="22" t="inlineStr">
        <is>
          <t>EPS diluted</t>
        </is>
      </c>
      <c r="F54" s="29" t="n">
        <v>2.57</v>
      </c>
      <c r="G54" s="22" t="inlineStr">
        <is>
          <t>$</t>
        </is>
      </c>
    </row>
    <row r="55" ht="18" customHeight="1">
      <c r="B55" s="55" t="inlineStr">
        <is>
          <t>FY2022</t>
        </is>
      </c>
      <c r="C55" s="20" t="inlineStr">
        <is>
          <t>Income Statement</t>
        </is>
      </c>
      <c r="D55" s="20" t="inlineStr">
        <is>
          <t>Consolidated</t>
        </is>
      </c>
      <c r="E55" s="20" t="inlineStr">
        <is>
          <t>EPS diluted</t>
        </is>
      </c>
      <c r="F55" s="28" t="n">
        <v>0.84</v>
      </c>
      <c r="G55" s="20" t="inlineStr">
        <is>
          <t>$</t>
        </is>
      </c>
    </row>
    <row r="56" ht="18" customHeight="1">
      <c r="B56" s="57" t="inlineStr">
        <is>
          <t>FY2023</t>
        </is>
      </c>
      <c r="C56" s="22" t="inlineStr">
        <is>
          <t>Income Statement</t>
        </is>
      </c>
      <c r="D56" s="22" t="inlineStr">
        <is>
          <t>Consolidated</t>
        </is>
      </c>
      <c r="E56" s="22" t="inlineStr">
        <is>
          <t>EPS diluted</t>
        </is>
      </c>
      <c r="F56" s="29" t="n">
        <v>0.53</v>
      </c>
      <c r="G56" s="22" t="inlineStr">
        <is>
          <t>$</t>
        </is>
      </c>
    </row>
    <row r="57" ht="18" customHeight="1">
      <c r="B57" s="55" t="inlineStr">
        <is>
          <t>FY2024</t>
        </is>
      </c>
      <c r="C57" s="20" t="inlineStr">
        <is>
          <t>Income Statement</t>
        </is>
      </c>
      <c r="D57" s="20" t="inlineStr">
        <is>
          <t>Consolidated</t>
        </is>
      </c>
      <c r="E57" s="20" t="inlineStr">
        <is>
          <t>EPS diluted</t>
        </is>
      </c>
      <c r="F57" s="28" t="n">
        <v>1</v>
      </c>
      <c r="G57" s="20" t="inlineStr">
        <is>
          <t>$</t>
        </is>
      </c>
    </row>
    <row r="58" ht="18" customHeight="1">
      <c r="B58" s="57" t="inlineStr">
        <is>
          <t>FY2025</t>
        </is>
      </c>
      <c r="C58" s="22" t="inlineStr">
        <is>
          <t>Income Statement</t>
        </is>
      </c>
      <c r="D58" s="22" t="inlineStr">
        <is>
          <t>Consolidated</t>
        </is>
      </c>
      <c r="E58" s="22" t="inlineStr">
        <is>
          <t>EPS diluted</t>
        </is>
      </c>
      <c r="F58" s="29" t="n">
        <v>2.65</v>
      </c>
      <c r="G58" s="22" t="inlineStr">
        <is>
          <t>$</t>
        </is>
      </c>
    </row>
    <row r="59" ht="18" customHeight="1">
      <c r="B59" s="55" t="inlineStr">
        <is>
          <t>FY2020</t>
        </is>
      </c>
      <c r="C59" s="20" t="inlineStr">
        <is>
          <t>Balance Sheet</t>
        </is>
      </c>
      <c r="D59" s="20" t="inlineStr">
        <is>
          <t>Consolidated</t>
        </is>
      </c>
      <c r="E59" s="20" t="inlineStr">
        <is>
          <t>Cash and equivalents</t>
        </is>
      </c>
      <c r="F59" s="21" t="n">
        <v>1595</v>
      </c>
      <c r="G59" s="20" t="inlineStr">
        <is>
          <t>$M</t>
        </is>
      </c>
    </row>
    <row r="60" ht="18" customHeight="1">
      <c r="B60" s="57" t="inlineStr">
        <is>
          <t>FY2021</t>
        </is>
      </c>
      <c r="C60" s="22" t="inlineStr">
        <is>
          <t>Balance Sheet</t>
        </is>
      </c>
      <c r="D60" s="22" t="inlineStr">
        <is>
          <t>Consolidated</t>
        </is>
      </c>
      <c r="E60" s="22" t="inlineStr">
        <is>
          <t>Cash and equivalents</t>
        </is>
      </c>
      <c r="F60" s="23" t="n">
        <v>2535</v>
      </c>
      <c r="G60" s="22" t="inlineStr">
        <is>
          <t>$M</t>
        </is>
      </c>
    </row>
    <row r="61" ht="18" customHeight="1">
      <c r="B61" s="55" t="inlineStr">
        <is>
          <t>FY2022</t>
        </is>
      </c>
      <c r="C61" s="20" t="inlineStr">
        <is>
          <t>Balance Sheet</t>
        </is>
      </c>
      <c r="D61" s="20" t="inlineStr">
        <is>
          <t>Consolidated</t>
        </is>
      </c>
      <c r="E61" s="20" t="inlineStr">
        <is>
          <t>Cash and equivalents</t>
        </is>
      </c>
      <c r="F61" s="21" t="n">
        <v>4835</v>
      </c>
      <c r="G61" s="20" t="inlineStr">
        <is>
          <t>$M</t>
        </is>
      </c>
    </row>
    <row r="62" ht="18" customHeight="1">
      <c r="B62" s="57" t="inlineStr">
        <is>
          <t>FY2023</t>
        </is>
      </c>
      <c r="C62" s="22" t="inlineStr">
        <is>
          <t>Balance Sheet</t>
        </is>
      </c>
      <c r="D62" s="22" t="inlineStr">
        <is>
          <t>Consolidated</t>
        </is>
      </c>
      <c r="E62" s="22" t="inlineStr">
        <is>
          <t>Cash and equivalents</t>
        </is>
      </c>
      <c r="F62" s="23" t="n">
        <v>3933</v>
      </c>
      <c r="G62" s="22" t="inlineStr">
        <is>
          <t>$M</t>
        </is>
      </c>
    </row>
    <row r="63" ht="18" customHeight="1">
      <c r="B63" s="55" t="inlineStr">
        <is>
          <t>FY2024</t>
        </is>
      </c>
      <c r="C63" s="20" t="inlineStr">
        <is>
          <t>Balance Sheet</t>
        </is>
      </c>
      <c r="D63" s="20" t="inlineStr">
        <is>
          <t>Consolidated</t>
        </is>
      </c>
      <c r="E63" s="20" t="inlineStr">
        <is>
          <t>Cash and equivalents</t>
        </is>
      </c>
      <c r="F63" s="21" t="n">
        <v>3787</v>
      </c>
      <c r="G63" s="20" t="inlineStr">
        <is>
          <t>$M</t>
        </is>
      </c>
    </row>
    <row r="64" ht="18" customHeight="1">
      <c r="B64" s="57" t="inlineStr">
        <is>
          <t>FY2025</t>
        </is>
      </c>
      <c r="C64" s="22" t="inlineStr">
        <is>
          <t>Balance Sheet</t>
        </is>
      </c>
      <c r="D64" s="22" t="inlineStr">
        <is>
          <t>Consolidated</t>
        </is>
      </c>
      <c r="E64" s="22" t="inlineStr">
        <is>
          <t>Cash and equivalents</t>
        </is>
      </c>
      <c r="F64" s="23" t="n">
        <v>5539</v>
      </c>
      <c r="G64" s="22" t="inlineStr">
        <is>
          <t>$M</t>
        </is>
      </c>
    </row>
    <row r="65" ht="18" customHeight="1">
      <c r="B65" s="55" t="inlineStr">
        <is>
          <t>FY2020</t>
        </is>
      </c>
      <c r="C65" s="20" t="inlineStr">
        <is>
          <t>Balance Sheet</t>
        </is>
      </c>
      <c r="D65" s="20" t="inlineStr">
        <is>
          <t>Consolidated</t>
        </is>
      </c>
      <c r="E65" s="20" t="inlineStr">
        <is>
          <t>Short-term investments</t>
        </is>
      </c>
      <c r="F65" s="21" t="n">
        <v>695</v>
      </c>
      <c r="G65" s="20" t="inlineStr">
        <is>
          <t>$M</t>
        </is>
      </c>
    </row>
    <row r="66" ht="18" customHeight="1">
      <c r="B66" s="57" t="inlineStr">
        <is>
          <t>FY2021</t>
        </is>
      </c>
      <c r="C66" s="22" t="inlineStr">
        <is>
          <t>Balance Sheet</t>
        </is>
      </c>
      <c r="D66" s="22" t="inlineStr">
        <is>
          <t>Consolidated</t>
        </is>
      </c>
      <c r="E66" s="22" t="inlineStr">
        <is>
          <t>Short-term investments</t>
        </is>
      </c>
      <c r="F66" s="23" t="n">
        <v>1073</v>
      </c>
      <c r="G66" s="22" t="inlineStr">
        <is>
          <t>$M</t>
        </is>
      </c>
    </row>
    <row r="67" ht="18" customHeight="1">
      <c r="B67" s="55" t="inlineStr">
        <is>
          <t>FY2022</t>
        </is>
      </c>
      <c r="C67" s="20" t="inlineStr">
        <is>
          <t>Balance Sheet</t>
        </is>
      </c>
      <c r="D67" s="20" t="inlineStr">
        <is>
          <t>Consolidated</t>
        </is>
      </c>
      <c r="E67" s="20" t="inlineStr">
        <is>
          <t>Short-term investments</t>
        </is>
      </c>
      <c r="F67" s="21" t="n">
        <v>1020</v>
      </c>
      <c r="G67" s="20" t="inlineStr">
        <is>
          <t>$M</t>
        </is>
      </c>
    </row>
    <row r="68" ht="18" customHeight="1">
      <c r="B68" s="57" t="inlineStr">
        <is>
          <t>FY2023</t>
        </is>
      </c>
      <c r="C68" s="22" t="inlineStr">
        <is>
          <t>Balance Sheet</t>
        </is>
      </c>
      <c r="D68" s="22" t="inlineStr">
        <is>
          <t>Consolidated</t>
        </is>
      </c>
      <c r="E68" s="22" t="inlineStr">
        <is>
          <t>Short-term investments</t>
        </is>
      </c>
      <c r="F68" s="23" t="n">
        <v>1840</v>
      </c>
      <c r="G68" s="22" t="inlineStr">
        <is>
          <t>$M</t>
        </is>
      </c>
    </row>
    <row r="69" ht="18" customHeight="1">
      <c r="B69" s="55" t="inlineStr">
        <is>
          <t>FY2024</t>
        </is>
      </c>
      <c r="C69" s="20" t="inlineStr">
        <is>
          <t>Balance Sheet</t>
        </is>
      </c>
      <c r="D69" s="20" t="inlineStr">
        <is>
          <t>Consolidated</t>
        </is>
      </c>
      <c r="E69" s="20" t="inlineStr">
        <is>
          <t>Short-term investments</t>
        </is>
      </c>
      <c r="F69" s="21" t="n">
        <v>1345</v>
      </c>
      <c r="G69" s="20" t="inlineStr">
        <is>
          <t>$M</t>
        </is>
      </c>
    </row>
    <row r="70" ht="18" customHeight="1">
      <c r="B70" s="57" t="inlineStr">
        <is>
          <t>FY2025</t>
        </is>
      </c>
      <c r="C70" s="22" t="inlineStr">
        <is>
          <t>Balance Sheet</t>
        </is>
      </c>
      <c r="D70" s="22" t="inlineStr">
        <is>
          <t>Consolidated</t>
        </is>
      </c>
      <c r="E70" s="22" t="inlineStr">
        <is>
          <t>Short-term investments</t>
        </is>
      </c>
      <c r="F70" s="23" t="n">
        <v>5013</v>
      </c>
      <c r="G70" s="22" t="inlineStr">
        <is>
          <t>$M</t>
        </is>
      </c>
    </row>
    <row r="71" ht="18" customHeight="1">
      <c r="B71" s="55" t="inlineStr">
        <is>
          <t>FY2020</t>
        </is>
      </c>
      <c r="C71" s="20" t="inlineStr">
        <is>
          <t>Balance Sheet</t>
        </is>
      </c>
      <c r="D71" s="20" t="inlineStr">
        <is>
          <t>Consolidated</t>
        </is>
      </c>
      <c r="E71" s="20" t="inlineStr">
        <is>
          <t>Accounts receivable</t>
        </is>
      </c>
      <c r="F71" s="21" t="n">
        <v>2066</v>
      </c>
      <c r="G71" s="20" t="inlineStr">
        <is>
          <t>$M</t>
        </is>
      </c>
    </row>
    <row r="72" ht="18" customHeight="1">
      <c r="B72" s="57" t="inlineStr">
        <is>
          <t>FY2021</t>
        </is>
      </c>
      <c r="C72" s="22" t="inlineStr">
        <is>
          <t>Balance Sheet</t>
        </is>
      </c>
      <c r="D72" s="22" t="inlineStr">
        <is>
          <t>Consolidated</t>
        </is>
      </c>
      <c r="E72" s="22" t="inlineStr">
        <is>
          <t>Accounts receivable</t>
        </is>
      </c>
      <c r="F72" s="23" t="n">
        <v>2706</v>
      </c>
      <c r="G72" s="22" t="inlineStr">
        <is>
          <t>$M</t>
        </is>
      </c>
    </row>
    <row r="73" ht="18" customHeight="1">
      <c r="B73" s="55" t="inlineStr">
        <is>
          <t>FY2022</t>
        </is>
      </c>
      <c r="C73" s="20" t="inlineStr">
        <is>
          <t>Balance Sheet</t>
        </is>
      </c>
      <c r="D73" s="20" t="inlineStr">
        <is>
          <t>Consolidated</t>
        </is>
      </c>
      <c r="E73" s="20" t="inlineStr">
        <is>
          <t>Accounts receivable</t>
        </is>
      </c>
      <c r="F73" s="21" t="n">
        <v>4126</v>
      </c>
      <c r="G73" s="20" t="inlineStr">
        <is>
          <t>$M</t>
        </is>
      </c>
    </row>
    <row r="74" ht="18" customHeight="1">
      <c r="B74" s="57" t="inlineStr">
        <is>
          <t>FY2023</t>
        </is>
      </c>
      <c r="C74" s="22" t="inlineStr">
        <is>
          <t>Balance Sheet</t>
        </is>
      </c>
      <c r="D74" s="22" t="inlineStr">
        <is>
          <t>Consolidated</t>
        </is>
      </c>
      <c r="E74" s="22" t="inlineStr">
        <is>
          <t>Accounts receivable</t>
        </is>
      </c>
      <c r="F74" s="23" t="n">
        <v>4323</v>
      </c>
      <c r="G74" s="22" t="inlineStr">
        <is>
          <t>$M</t>
        </is>
      </c>
    </row>
    <row r="75" ht="18" customHeight="1">
      <c r="B75" s="55" t="inlineStr">
        <is>
          <t>FY2024</t>
        </is>
      </c>
      <c r="C75" s="20" t="inlineStr">
        <is>
          <t>Balance Sheet</t>
        </is>
      </c>
      <c r="D75" s="20" t="inlineStr">
        <is>
          <t>Consolidated</t>
        </is>
      </c>
      <c r="E75" s="20" t="inlineStr">
        <is>
          <t>Accounts receivable</t>
        </is>
      </c>
      <c r="F75" s="21" t="n">
        <v>6192</v>
      </c>
      <c r="G75" s="20" t="inlineStr">
        <is>
          <t>$M</t>
        </is>
      </c>
    </row>
    <row r="76" ht="18" customHeight="1">
      <c r="B76" s="57" t="inlineStr">
        <is>
          <t>FY2025</t>
        </is>
      </c>
      <c r="C76" s="22" t="inlineStr">
        <is>
          <t>Balance Sheet</t>
        </is>
      </c>
      <c r="D76" s="22" t="inlineStr">
        <is>
          <t>Consolidated</t>
        </is>
      </c>
      <c r="E76" s="22" t="inlineStr">
        <is>
          <t>Accounts receivable</t>
        </is>
      </c>
      <c r="F76" s="23" t="n">
        <v>6315</v>
      </c>
      <c r="G76" s="22" t="inlineStr">
        <is>
          <t>$M</t>
        </is>
      </c>
    </row>
    <row r="77" ht="18" customHeight="1">
      <c r="B77" s="55" t="inlineStr">
        <is>
          <t>FY2020</t>
        </is>
      </c>
      <c r="C77" s="20" t="inlineStr">
        <is>
          <t>Balance Sheet</t>
        </is>
      </c>
      <c r="D77" s="20" t="inlineStr">
        <is>
          <t>Consolidated</t>
        </is>
      </c>
      <c r="E77" s="20" t="inlineStr">
        <is>
          <t>Inventories</t>
        </is>
      </c>
      <c r="F77" s="21" t="n">
        <v>1399</v>
      </c>
      <c r="G77" s="20" t="inlineStr">
        <is>
          <t>$M</t>
        </is>
      </c>
    </row>
    <row r="78" ht="18" customHeight="1">
      <c r="B78" s="57" t="inlineStr">
        <is>
          <t>FY2021</t>
        </is>
      </c>
      <c r="C78" s="22" t="inlineStr">
        <is>
          <t>Balance Sheet</t>
        </is>
      </c>
      <c r="D78" s="22" t="inlineStr">
        <is>
          <t>Consolidated</t>
        </is>
      </c>
      <c r="E78" s="22" t="inlineStr">
        <is>
          <t>Inventories</t>
        </is>
      </c>
      <c r="F78" s="23" t="n">
        <v>1955</v>
      </c>
      <c r="G78" s="22" t="inlineStr">
        <is>
          <t>$M</t>
        </is>
      </c>
    </row>
    <row r="79" ht="18" customHeight="1">
      <c r="B79" s="55" t="inlineStr">
        <is>
          <t>FY2022</t>
        </is>
      </c>
      <c r="C79" s="20" t="inlineStr">
        <is>
          <t>Balance Sheet</t>
        </is>
      </c>
      <c r="D79" s="20" t="inlineStr">
        <is>
          <t>Consolidated</t>
        </is>
      </c>
      <c r="E79" s="20" t="inlineStr">
        <is>
          <t>Inventories</t>
        </is>
      </c>
      <c r="F79" s="21" t="n">
        <v>3771</v>
      </c>
      <c r="G79" s="20" t="inlineStr">
        <is>
          <t>$M</t>
        </is>
      </c>
    </row>
    <row r="80" ht="18" customHeight="1">
      <c r="B80" s="57" t="inlineStr">
        <is>
          <t>FY2023</t>
        </is>
      </c>
      <c r="C80" s="22" t="inlineStr">
        <is>
          <t>Balance Sheet</t>
        </is>
      </c>
      <c r="D80" s="22" t="inlineStr">
        <is>
          <t>Consolidated</t>
        </is>
      </c>
      <c r="E80" s="22" t="inlineStr">
        <is>
          <t>Inventories</t>
        </is>
      </c>
      <c r="F80" s="23" t="n">
        <v>4351</v>
      </c>
      <c r="G80" s="22" t="inlineStr">
        <is>
          <t>$M</t>
        </is>
      </c>
    </row>
    <row r="81" ht="18" customHeight="1">
      <c r="B81" s="55" t="inlineStr">
        <is>
          <t>FY2024</t>
        </is>
      </c>
      <c r="C81" s="20" t="inlineStr">
        <is>
          <t>Balance Sheet</t>
        </is>
      </c>
      <c r="D81" s="20" t="inlineStr">
        <is>
          <t>Consolidated</t>
        </is>
      </c>
      <c r="E81" s="20" t="inlineStr">
        <is>
          <t>Inventories</t>
        </is>
      </c>
      <c r="F81" s="21" t="n">
        <v>5734</v>
      </c>
      <c r="G81" s="20" t="inlineStr">
        <is>
          <t>$M</t>
        </is>
      </c>
    </row>
    <row r="82" ht="18" customHeight="1">
      <c r="B82" s="57" t="inlineStr">
        <is>
          <t>FY2025</t>
        </is>
      </c>
      <c r="C82" s="22" t="inlineStr">
        <is>
          <t>Balance Sheet</t>
        </is>
      </c>
      <c r="D82" s="22" t="inlineStr">
        <is>
          <t>Consolidated</t>
        </is>
      </c>
      <c r="E82" s="22" t="inlineStr">
        <is>
          <t>Inventories</t>
        </is>
      </c>
      <c r="F82" s="23" t="n">
        <v>7920</v>
      </c>
      <c r="G82" s="22" t="inlineStr">
        <is>
          <t>$M</t>
        </is>
      </c>
    </row>
    <row r="83" ht="18" customHeight="1">
      <c r="B83" s="55" t="inlineStr">
        <is>
          <t>FY2020</t>
        </is>
      </c>
      <c r="C83" s="20" t="inlineStr">
        <is>
          <t>Balance Sheet</t>
        </is>
      </c>
      <c r="D83" s="20" t="inlineStr">
        <is>
          <t>Consolidated</t>
        </is>
      </c>
      <c r="E83" s="20" t="inlineStr">
        <is>
          <t>Total current assets</t>
        </is>
      </c>
      <c r="F83" s="21" t="n">
        <v>6143</v>
      </c>
      <c r="G83" s="20" t="inlineStr">
        <is>
          <t>$M</t>
        </is>
      </c>
    </row>
    <row r="84" ht="18" customHeight="1">
      <c r="B84" s="57" t="inlineStr">
        <is>
          <t>FY2021</t>
        </is>
      </c>
      <c r="C84" s="22" t="inlineStr">
        <is>
          <t>Balance Sheet</t>
        </is>
      </c>
      <c r="D84" s="22" t="inlineStr">
        <is>
          <t>Consolidated</t>
        </is>
      </c>
      <c r="E84" s="22" t="inlineStr">
        <is>
          <t>Total current assets</t>
        </is>
      </c>
      <c r="F84" s="23" t="n">
        <v>8583</v>
      </c>
      <c r="G84" s="22" t="inlineStr">
        <is>
          <t>$M</t>
        </is>
      </c>
    </row>
    <row r="85" ht="18" customHeight="1">
      <c r="B85" s="55" t="inlineStr">
        <is>
          <t>FY2022</t>
        </is>
      </c>
      <c r="C85" s="20" t="inlineStr">
        <is>
          <t>Balance Sheet</t>
        </is>
      </c>
      <c r="D85" s="20" t="inlineStr">
        <is>
          <t>Consolidated</t>
        </is>
      </c>
      <c r="E85" s="20" t="inlineStr">
        <is>
          <t>Total current assets</t>
        </is>
      </c>
      <c r="F85" s="21" t="n">
        <v>15019</v>
      </c>
      <c r="G85" s="20" t="inlineStr">
        <is>
          <t>$M</t>
        </is>
      </c>
    </row>
    <row r="86" ht="18" customHeight="1">
      <c r="B86" s="57" t="inlineStr">
        <is>
          <t>FY2023</t>
        </is>
      </c>
      <c r="C86" s="22" t="inlineStr">
        <is>
          <t>Balance Sheet</t>
        </is>
      </c>
      <c r="D86" s="22" t="inlineStr">
        <is>
          <t>Consolidated</t>
        </is>
      </c>
      <c r="E86" s="22" t="inlineStr">
        <is>
          <t>Total current assets</t>
        </is>
      </c>
      <c r="F86" s="23" t="n">
        <v>16768</v>
      </c>
      <c r="G86" s="22" t="inlineStr">
        <is>
          <t>$M</t>
        </is>
      </c>
    </row>
    <row r="87" ht="18" customHeight="1">
      <c r="B87" s="55" t="inlineStr">
        <is>
          <t>FY2024</t>
        </is>
      </c>
      <c r="C87" s="20" t="inlineStr">
        <is>
          <t>Balance Sheet</t>
        </is>
      </c>
      <c r="D87" s="20" t="inlineStr">
        <is>
          <t>Consolidated</t>
        </is>
      </c>
      <c r="E87" s="20" t="inlineStr">
        <is>
          <t>Total current assets</t>
        </is>
      </c>
      <c r="F87" s="21" t="n">
        <v>19049</v>
      </c>
      <c r="G87" s="20" t="inlineStr">
        <is>
          <t>$M</t>
        </is>
      </c>
    </row>
    <row r="88" ht="18" customHeight="1">
      <c r="B88" s="57" t="inlineStr">
        <is>
          <t>FY2025</t>
        </is>
      </c>
      <c r="C88" s="22" t="inlineStr">
        <is>
          <t>Balance Sheet</t>
        </is>
      </c>
      <c r="D88" s="22" t="inlineStr">
        <is>
          <t>Consolidated</t>
        </is>
      </c>
      <c r="E88" s="22" t="inlineStr">
        <is>
          <t>Total current assets</t>
        </is>
      </c>
      <c r="F88" s="23" t="n">
        <v>26947</v>
      </c>
      <c r="G88" s="22" t="inlineStr">
        <is>
          <t>$M</t>
        </is>
      </c>
    </row>
    <row r="89" ht="18" customHeight="1">
      <c r="B89" s="55" t="inlineStr">
        <is>
          <t>FY2020</t>
        </is>
      </c>
      <c r="C89" s="20" t="inlineStr">
        <is>
          <t>Balance Sheet</t>
        </is>
      </c>
      <c r="D89" s="20" t="inlineStr">
        <is>
          <t>Consolidated</t>
        </is>
      </c>
      <c r="E89" s="20" t="inlineStr">
        <is>
          <t>Total assets</t>
        </is>
      </c>
      <c r="F89" s="21" t="n">
        <v>8962</v>
      </c>
      <c r="G89" s="20" t="inlineStr">
        <is>
          <t>$M</t>
        </is>
      </c>
    </row>
    <row r="90" ht="18" customHeight="1">
      <c r="B90" s="57" t="inlineStr">
        <is>
          <t>FY2021</t>
        </is>
      </c>
      <c r="C90" s="22" t="inlineStr">
        <is>
          <t>Balance Sheet</t>
        </is>
      </c>
      <c r="D90" s="22" t="inlineStr">
        <is>
          <t>Consolidated</t>
        </is>
      </c>
      <c r="E90" s="22" t="inlineStr">
        <is>
          <t>Total assets</t>
        </is>
      </c>
      <c r="F90" s="23" t="n">
        <v>12419</v>
      </c>
      <c r="G90" s="22" t="inlineStr">
        <is>
          <t>$M</t>
        </is>
      </c>
    </row>
    <row r="91" ht="18" customHeight="1">
      <c r="B91" s="55" t="inlineStr">
        <is>
          <t>FY2022</t>
        </is>
      </c>
      <c r="C91" s="20" t="inlineStr">
        <is>
          <t>Balance Sheet</t>
        </is>
      </c>
      <c r="D91" s="20" t="inlineStr">
        <is>
          <t>Consolidated</t>
        </is>
      </c>
      <c r="E91" s="20" t="inlineStr">
        <is>
          <t>Total assets</t>
        </is>
      </c>
      <c r="F91" s="21" t="n">
        <v>67580</v>
      </c>
      <c r="G91" s="20" t="inlineStr">
        <is>
          <t>$M</t>
        </is>
      </c>
    </row>
    <row r="92" ht="18" customHeight="1">
      <c r="B92" s="57" t="inlineStr">
        <is>
          <t>FY2023</t>
        </is>
      </c>
      <c r="C92" s="22" t="inlineStr">
        <is>
          <t>Balance Sheet</t>
        </is>
      </c>
      <c r="D92" s="22" t="inlineStr">
        <is>
          <t>Consolidated</t>
        </is>
      </c>
      <c r="E92" s="22" t="inlineStr">
        <is>
          <t>Total assets</t>
        </is>
      </c>
      <c r="F92" s="23" t="n">
        <v>67885</v>
      </c>
      <c r="G92" s="22" t="inlineStr">
        <is>
          <t>$M</t>
        </is>
      </c>
    </row>
    <row r="93" ht="18" customHeight="1">
      <c r="B93" s="55" t="inlineStr">
        <is>
          <t>FY2024</t>
        </is>
      </c>
      <c r="C93" s="20" t="inlineStr">
        <is>
          <t>Balance Sheet</t>
        </is>
      </c>
      <c r="D93" s="20" t="inlineStr">
        <is>
          <t>Consolidated</t>
        </is>
      </c>
      <c r="E93" s="20" t="inlineStr">
        <is>
          <t>Total assets</t>
        </is>
      </c>
      <c r="F93" s="21" t="n">
        <v>69226</v>
      </c>
      <c r="G93" s="20" t="inlineStr">
        <is>
          <t>$M</t>
        </is>
      </c>
    </row>
    <row r="94" ht="18" customHeight="1">
      <c r="B94" s="57" t="inlineStr">
        <is>
          <t>FY2025</t>
        </is>
      </c>
      <c r="C94" s="22" t="inlineStr">
        <is>
          <t>Balance Sheet</t>
        </is>
      </c>
      <c r="D94" s="22" t="inlineStr">
        <is>
          <t>Consolidated</t>
        </is>
      </c>
      <c r="E94" s="22" t="inlineStr">
        <is>
          <t>Total assets</t>
        </is>
      </c>
      <c r="F94" s="23" t="n">
        <v>76926</v>
      </c>
      <c r="G94" s="22" t="inlineStr">
        <is>
          <t>$M</t>
        </is>
      </c>
    </row>
    <row r="95" ht="18" customHeight="1">
      <c r="B95" s="55" t="inlineStr">
        <is>
          <t>FY2020</t>
        </is>
      </c>
      <c r="C95" s="20" t="inlineStr">
        <is>
          <t>Balance Sheet</t>
        </is>
      </c>
      <c r="D95" s="20" t="inlineStr">
        <is>
          <t>Consolidated</t>
        </is>
      </c>
      <c r="E95" s="20" t="inlineStr">
        <is>
          <t>Accounts payable</t>
        </is>
      </c>
      <c r="F95" s="21" t="n">
        <v>468</v>
      </c>
      <c r="G95" s="20" t="inlineStr">
        <is>
          <t>$M</t>
        </is>
      </c>
    </row>
    <row r="96" ht="18" customHeight="1">
      <c r="B96" s="57" t="inlineStr">
        <is>
          <t>FY2021</t>
        </is>
      </c>
      <c r="C96" s="22" t="inlineStr">
        <is>
          <t>Balance Sheet</t>
        </is>
      </c>
      <c r="D96" s="22" t="inlineStr">
        <is>
          <t>Consolidated</t>
        </is>
      </c>
      <c r="E96" s="22" t="inlineStr">
        <is>
          <t>Accounts payable</t>
        </is>
      </c>
      <c r="F96" s="23" t="n">
        <v>1321</v>
      </c>
      <c r="G96" s="22" t="inlineStr">
        <is>
          <t>$M</t>
        </is>
      </c>
    </row>
    <row r="97" ht="18" customHeight="1">
      <c r="B97" s="55" t="inlineStr">
        <is>
          <t>FY2022</t>
        </is>
      </c>
      <c r="C97" s="20" t="inlineStr">
        <is>
          <t>Balance Sheet</t>
        </is>
      </c>
      <c r="D97" s="20" t="inlineStr">
        <is>
          <t>Consolidated</t>
        </is>
      </c>
      <c r="E97" s="20" t="inlineStr">
        <is>
          <t>Accounts payable</t>
        </is>
      </c>
      <c r="F97" s="21" t="n">
        <v>2493</v>
      </c>
      <c r="G97" s="20" t="inlineStr">
        <is>
          <t>$M</t>
        </is>
      </c>
    </row>
    <row r="98" ht="18" customHeight="1">
      <c r="B98" s="57" t="inlineStr">
        <is>
          <t>FY2023</t>
        </is>
      </c>
      <c r="C98" s="22" t="inlineStr">
        <is>
          <t>Balance Sheet</t>
        </is>
      </c>
      <c r="D98" s="22" t="inlineStr">
        <is>
          <t>Consolidated</t>
        </is>
      </c>
      <c r="E98" s="22" t="inlineStr">
        <is>
          <t>Accounts payable</t>
        </is>
      </c>
      <c r="F98" s="23" t="n">
        <v>2055</v>
      </c>
      <c r="G98" s="22" t="inlineStr">
        <is>
          <t>$M</t>
        </is>
      </c>
    </row>
    <row r="99" ht="18" customHeight="1">
      <c r="B99" s="55" t="inlineStr">
        <is>
          <t>FY2024</t>
        </is>
      </c>
      <c r="C99" s="20" t="inlineStr">
        <is>
          <t>Balance Sheet</t>
        </is>
      </c>
      <c r="D99" s="20" t="inlineStr">
        <is>
          <t>Consolidated</t>
        </is>
      </c>
      <c r="E99" s="20" t="inlineStr">
        <is>
          <t>Accounts payable</t>
        </is>
      </c>
      <c r="F99" s="21" t="n">
        <v>1990</v>
      </c>
      <c r="G99" s="20" t="inlineStr">
        <is>
          <t>$M</t>
        </is>
      </c>
    </row>
    <row r="100" ht="18" customHeight="1">
      <c r="B100" s="57" t="inlineStr">
        <is>
          <t>FY2025</t>
        </is>
      </c>
      <c r="C100" s="22" t="inlineStr">
        <is>
          <t>Balance Sheet</t>
        </is>
      </c>
      <c r="D100" s="22" t="inlineStr">
        <is>
          <t>Consolidated</t>
        </is>
      </c>
      <c r="E100" s="22" t="inlineStr">
        <is>
          <t>Accounts payable</t>
        </is>
      </c>
      <c r="F100" s="23" t="n">
        <v>2929</v>
      </c>
      <c r="G100" s="22" t="inlineStr">
        <is>
          <t>$M</t>
        </is>
      </c>
    </row>
    <row r="101" ht="18" customHeight="1">
      <c r="B101" s="55" t="inlineStr">
        <is>
          <t>FY2020</t>
        </is>
      </c>
      <c r="C101" s="20" t="inlineStr">
        <is>
          <t>Balance Sheet</t>
        </is>
      </c>
      <c r="D101" s="20" t="inlineStr">
        <is>
          <t>Consolidated</t>
        </is>
      </c>
      <c r="E101" s="20" t="inlineStr">
        <is>
          <t>Total current liabilities</t>
        </is>
      </c>
      <c r="F101" s="21" t="n">
        <v>2417</v>
      </c>
      <c r="G101" s="20" t="inlineStr">
        <is>
          <t>$M</t>
        </is>
      </c>
    </row>
    <row r="102" ht="18" customHeight="1">
      <c r="B102" s="57" t="inlineStr">
        <is>
          <t>FY2021</t>
        </is>
      </c>
      <c r="C102" s="22" t="inlineStr">
        <is>
          <t>Balance Sheet</t>
        </is>
      </c>
      <c r="D102" s="22" t="inlineStr">
        <is>
          <t>Consolidated</t>
        </is>
      </c>
      <c r="E102" s="22" t="inlineStr">
        <is>
          <t>Total current liabilities</t>
        </is>
      </c>
      <c r="F102" s="23" t="n">
        <v>4240</v>
      </c>
      <c r="G102" s="22" t="inlineStr">
        <is>
          <t>$M</t>
        </is>
      </c>
    </row>
    <row r="103" ht="18" customHeight="1">
      <c r="B103" s="55" t="inlineStr">
        <is>
          <t>FY2022</t>
        </is>
      </c>
      <c r="C103" s="20" t="inlineStr">
        <is>
          <t>Balance Sheet</t>
        </is>
      </c>
      <c r="D103" s="20" t="inlineStr">
        <is>
          <t>Consolidated</t>
        </is>
      </c>
      <c r="E103" s="20" t="inlineStr">
        <is>
          <t>Total current liabilities</t>
        </is>
      </c>
      <c r="F103" s="21" t="n">
        <v>6369</v>
      </c>
      <c r="G103" s="20" t="inlineStr">
        <is>
          <t>$M</t>
        </is>
      </c>
    </row>
    <row r="104" ht="18" customHeight="1">
      <c r="B104" s="57" t="inlineStr">
        <is>
          <t>FY2023</t>
        </is>
      </c>
      <c r="C104" s="22" t="inlineStr">
        <is>
          <t>Balance Sheet</t>
        </is>
      </c>
      <c r="D104" s="22" t="inlineStr">
        <is>
          <t>Consolidated</t>
        </is>
      </c>
      <c r="E104" s="22" t="inlineStr">
        <is>
          <t>Total current liabilities</t>
        </is>
      </c>
      <c r="F104" s="23" t="n">
        <v>6689</v>
      </c>
      <c r="G104" s="22" t="inlineStr">
        <is>
          <t>$M</t>
        </is>
      </c>
    </row>
    <row r="105" ht="18" customHeight="1">
      <c r="B105" s="55" t="inlineStr">
        <is>
          <t>FY2024</t>
        </is>
      </c>
      <c r="C105" s="20" t="inlineStr">
        <is>
          <t>Balance Sheet</t>
        </is>
      </c>
      <c r="D105" s="20" t="inlineStr">
        <is>
          <t>Consolidated</t>
        </is>
      </c>
      <c r="E105" s="20" t="inlineStr">
        <is>
          <t>Total current liabilities</t>
        </is>
      </c>
      <c r="F105" s="21" t="n">
        <v>7281</v>
      </c>
      <c r="G105" s="20" t="inlineStr">
        <is>
          <t>$M</t>
        </is>
      </c>
    </row>
    <row r="106" ht="18" customHeight="1">
      <c r="B106" s="57" t="inlineStr">
        <is>
          <t>FY2025</t>
        </is>
      </c>
      <c r="C106" s="22" t="inlineStr">
        <is>
          <t>Balance Sheet</t>
        </is>
      </c>
      <c r="D106" s="22" t="inlineStr">
        <is>
          <t>Consolidated</t>
        </is>
      </c>
      <c r="E106" s="22" t="inlineStr">
        <is>
          <t>Total current liabilities</t>
        </is>
      </c>
      <c r="F106" s="23" t="n">
        <v>9455</v>
      </c>
      <c r="G106" s="22" t="inlineStr">
        <is>
          <t>$M</t>
        </is>
      </c>
    </row>
    <row r="107" ht="18" customHeight="1">
      <c r="B107" s="55" t="inlineStr">
        <is>
          <t>FY2020</t>
        </is>
      </c>
      <c r="C107" s="20" t="inlineStr">
        <is>
          <t>Balance Sheet</t>
        </is>
      </c>
      <c r="D107" s="20" t="inlineStr">
        <is>
          <t>Consolidated</t>
        </is>
      </c>
      <c r="E107" s="20" t="inlineStr">
        <is>
          <t>Long-term debt</t>
        </is>
      </c>
      <c r="F107" s="21" t="n">
        <v>330</v>
      </c>
      <c r="G107" s="20" t="inlineStr">
        <is>
          <t>$M</t>
        </is>
      </c>
    </row>
    <row r="108" ht="18" customHeight="1">
      <c r="B108" s="57" t="inlineStr">
        <is>
          <t>FY2021</t>
        </is>
      </c>
      <c r="C108" s="22" t="inlineStr">
        <is>
          <t>Balance Sheet</t>
        </is>
      </c>
      <c r="D108" s="22" t="inlineStr">
        <is>
          <t>Consolidated</t>
        </is>
      </c>
      <c r="E108" s="22" t="inlineStr">
        <is>
          <t>Long-term debt</t>
        </is>
      </c>
      <c r="F108" s="23" t="n">
        <v>1</v>
      </c>
      <c r="G108" s="22" t="inlineStr">
        <is>
          <t>$M</t>
        </is>
      </c>
    </row>
    <row r="109" ht="18" customHeight="1">
      <c r="B109" s="55" t="inlineStr">
        <is>
          <t>FY2022</t>
        </is>
      </c>
      <c r="C109" s="20" t="inlineStr">
        <is>
          <t>Balance Sheet</t>
        </is>
      </c>
      <c r="D109" s="20" t="inlineStr">
        <is>
          <t>Consolidated</t>
        </is>
      </c>
      <c r="E109" s="20" t="inlineStr">
        <is>
          <t>Long-term debt</t>
        </is>
      </c>
      <c r="F109" s="21" t="n">
        <v>2467</v>
      </c>
      <c r="G109" s="20" t="inlineStr">
        <is>
          <t>$M</t>
        </is>
      </c>
    </row>
    <row r="110" ht="18" customHeight="1">
      <c r="B110" s="57" t="inlineStr">
        <is>
          <t>FY2023</t>
        </is>
      </c>
      <c r="C110" s="22" t="inlineStr">
        <is>
          <t>Balance Sheet</t>
        </is>
      </c>
      <c r="D110" s="22" t="inlineStr">
        <is>
          <t>Consolidated</t>
        </is>
      </c>
      <c r="E110" s="22" t="inlineStr">
        <is>
          <t>Long-term debt</t>
        </is>
      </c>
      <c r="F110" s="23" t="n">
        <v>1717</v>
      </c>
      <c r="G110" s="22" t="inlineStr">
        <is>
          <t>$M</t>
        </is>
      </c>
    </row>
    <row r="111" ht="18" customHeight="1">
      <c r="B111" s="55" t="inlineStr">
        <is>
          <t>FY2024</t>
        </is>
      </c>
      <c r="C111" s="20" t="inlineStr">
        <is>
          <t>Balance Sheet</t>
        </is>
      </c>
      <c r="D111" s="20" t="inlineStr">
        <is>
          <t>Consolidated</t>
        </is>
      </c>
      <c r="E111" s="20" t="inlineStr">
        <is>
          <t>Long-term debt</t>
        </is>
      </c>
      <c r="F111" s="21" t="n">
        <v>1721</v>
      </c>
      <c r="G111" s="20" t="inlineStr">
        <is>
          <t>$M</t>
        </is>
      </c>
    </row>
    <row r="112" ht="18" customHeight="1">
      <c r="B112" s="57" t="inlineStr">
        <is>
          <t>FY2025</t>
        </is>
      </c>
      <c r="C112" s="22" t="inlineStr">
        <is>
          <t>Balance Sheet</t>
        </is>
      </c>
      <c r="D112" s="22" t="inlineStr">
        <is>
          <t>Consolidated</t>
        </is>
      </c>
      <c r="E112" s="22" t="inlineStr">
        <is>
          <t>Long-term debt</t>
        </is>
      </c>
      <c r="F112" s="23" t="n">
        <v>2348</v>
      </c>
      <c r="G112" s="22" t="inlineStr">
        <is>
          <t>$M</t>
        </is>
      </c>
    </row>
    <row r="113" ht="18" customHeight="1">
      <c r="B113" s="55" t="inlineStr">
        <is>
          <t>FY2020</t>
        </is>
      </c>
      <c r="C113" s="20" t="inlineStr">
        <is>
          <t>Balance Sheet</t>
        </is>
      </c>
      <c r="D113" s="20" t="inlineStr">
        <is>
          <t>Consolidated</t>
        </is>
      </c>
      <c r="E113" s="20" t="inlineStr">
        <is>
          <t>Total stockholders' equity</t>
        </is>
      </c>
      <c r="F113" s="21" t="n">
        <v>5837</v>
      </c>
      <c r="G113" s="20" t="inlineStr">
        <is>
          <t>$M</t>
        </is>
      </c>
    </row>
    <row r="114" ht="18" customHeight="1">
      <c r="B114" s="57" t="inlineStr">
        <is>
          <t>FY2021</t>
        </is>
      </c>
      <c r="C114" s="22" t="inlineStr">
        <is>
          <t>Balance Sheet</t>
        </is>
      </c>
      <c r="D114" s="22" t="inlineStr">
        <is>
          <t>Consolidated</t>
        </is>
      </c>
      <c r="E114" s="22" t="inlineStr">
        <is>
          <t>Total stockholders' equity</t>
        </is>
      </c>
      <c r="F114" s="23" t="n">
        <v>7497</v>
      </c>
      <c r="G114" s="22" t="inlineStr">
        <is>
          <t>$M</t>
        </is>
      </c>
    </row>
    <row r="115" ht="18" customHeight="1">
      <c r="B115" s="55" t="inlineStr">
        <is>
          <t>FY2022</t>
        </is>
      </c>
      <c r="C115" s="20" t="inlineStr">
        <is>
          <t>Balance Sheet</t>
        </is>
      </c>
      <c r="D115" s="20" t="inlineStr">
        <is>
          <t>Consolidated</t>
        </is>
      </c>
      <c r="E115" s="20" t="inlineStr">
        <is>
          <t>Total stockholders' equity</t>
        </is>
      </c>
      <c r="F115" s="21" t="n">
        <v>54750</v>
      </c>
      <c r="G115" s="20" t="inlineStr">
        <is>
          <t>$M</t>
        </is>
      </c>
    </row>
    <row r="116" ht="18" customHeight="1">
      <c r="B116" s="57" t="inlineStr">
        <is>
          <t>FY2023</t>
        </is>
      </c>
      <c r="C116" s="22" t="inlineStr">
        <is>
          <t>Balance Sheet</t>
        </is>
      </c>
      <c r="D116" s="22" t="inlineStr">
        <is>
          <t>Consolidated</t>
        </is>
      </c>
      <c r="E116" s="22" t="inlineStr">
        <is>
          <t>Total stockholders' equity</t>
        </is>
      </c>
      <c r="F116" s="23" t="n">
        <v>55892</v>
      </c>
      <c r="G116" s="22" t="inlineStr">
        <is>
          <t>$M</t>
        </is>
      </c>
    </row>
    <row r="117" ht="18" customHeight="1">
      <c r="B117" s="55" t="inlineStr">
        <is>
          <t>FY2024</t>
        </is>
      </c>
      <c r="C117" s="20" t="inlineStr">
        <is>
          <t>Balance Sheet</t>
        </is>
      </c>
      <c r="D117" s="20" t="inlineStr">
        <is>
          <t>Consolidated</t>
        </is>
      </c>
      <c r="E117" s="20" t="inlineStr">
        <is>
          <t>Total stockholders' equity</t>
        </is>
      </c>
      <c r="F117" s="21" t="n">
        <v>57568</v>
      </c>
      <c r="G117" s="20" t="inlineStr">
        <is>
          <t>$M</t>
        </is>
      </c>
    </row>
    <row r="118" ht="18" customHeight="1">
      <c r="B118" s="57" t="inlineStr">
        <is>
          <t>FY2025</t>
        </is>
      </c>
      <c r="C118" s="22" t="inlineStr">
        <is>
          <t>Balance Sheet</t>
        </is>
      </c>
      <c r="D118" s="22" t="inlineStr">
        <is>
          <t>Consolidated</t>
        </is>
      </c>
      <c r="E118" s="22" t="inlineStr">
        <is>
          <t>Total stockholders' equity</t>
        </is>
      </c>
      <c r="F118" s="23" t="n">
        <v>62999</v>
      </c>
      <c r="G118" s="22" t="inlineStr">
        <is>
          <t>$M</t>
        </is>
      </c>
    </row>
    <row r="119" ht="18" customHeight="1">
      <c r="B119" s="55" t="inlineStr">
        <is>
          <t>FY2020</t>
        </is>
      </c>
      <c r="C119" s="20" t="inlineStr">
        <is>
          <t>Cash Flow</t>
        </is>
      </c>
      <c r="D119" s="20" t="inlineStr">
        <is>
          <t>Consolidated</t>
        </is>
      </c>
      <c r="E119" s="20" t="inlineStr">
        <is>
          <t>Operating cash flow</t>
        </is>
      </c>
      <c r="F119" s="21" t="n">
        <v>1071</v>
      </c>
      <c r="G119" s="20" t="inlineStr">
        <is>
          <t>$M</t>
        </is>
      </c>
    </row>
    <row r="120" ht="18" customHeight="1">
      <c r="B120" s="57" t="inlineStr">
        <is>
          <t>FY2021</t>
        </is>
      </c>
      <c r="C120" s="22" t="inlineStr">
        <is>
          <t>Cash Flow</t>
        </is>
      </c>
      <c r="D120" s="22" t="inlineStr">
        <is>
          <t>Consolidated</t>
        </is>
      </c>
      <c r="E120" s="22" t="inlineStr">
        <is>
          <t>Operating cash flow</t>
        </is>
      </c>
      <c r="F120" s="23" t="n">
        <v>3521</v>
      </c>
      <c r="G120" s="22" t="inlineStr">
        <is>
          <t>$M</t>
        </is>
      </c>
    </row>
    <row r="121" ht="18" customHeight="1">
      <c r="B121" s="55" t="inlineStr">
        <is>
          <t>FY2022</t>
        </is>
      </c>
      <c r="C121" s="20" t="inlineStr">
        <is>
          <t>Cash Flow</t>
        </is>
      </c>
      <c r="D121" s="20" t="inlineStr">
        <is>
          <t>Consolidated</t>
        </is>
      </c>
      <c r="E121" s="20" t="inlineStr">
        <is>
          <t>Operating cash flow</t>
        </is>
      </c>
      <c r="F121" s="21" t="n">
        <v>3565</v>
      </c>
      <c r="G121" s="20" t="inlineStr">
        <is>
          <t>$M</t>
        </is>
      </c>
    </row>
    <row r="122" ht="18" customHeight="1">
      <c r="B122" s="57" t="inlineStr">
        <is>
          <t>FY2023</t>
        </is>
      </c>
      <c r="C122" s="22" t="inlineStr">
        <is>
          <t>Cash Flow</t>
        </is>
      </c>
      <c r="D122" s="22" t="inlineStr">
        <is>
          <t>Consolidated</t>
        </is>
      </c>
      <c r="E122" s="22" t="inlineStr">
        <is>
          <t>Operating cash flow</t>
        </is>
      </c>
      <c r="F122" s="23" t="n">
        <v>1667</v>
      </c>
      <c r="G122" s="22" t="inlineStr">
        <is>
          <t>$M</t>
        </is>
      </c>
    </row>
    <row r="123" ht="18" customHeight="1">
      <c r="B123" s="55" t="inlineStr">
        <is>
          <t>FY2024</t>
        </is>
      </c>
      <c r="C123" s="20" t="inlineStr">
        <is>
          <t>Cash Flow</t>
        </is>
      </c>
      <c r="D123" s="20" t="inlineStr">
        <is>
          <t>Consolidated</t>
        </is>
      </c>
      <c r="E123" s="20" t="inlineStr">
        <is>
          <t>Operating cash flow</t>
        </is>
      </c>
      <c r="F123" s="21" t="n">
        <v>3041</v>
      </c>
      <c r="G123" s="20" t="inlineStr">
        <is>
          <t>$M</t>
        </is>
      </c>
    </row>
    <row r="124" ht="18" customHeight="1">
      <c r="B124" s="57" t="inlineStr">
        <is>
          <t>FY2025</t>
        </is>
      </c>
      <c r="C124" s="22" t="inlineStr">
        <is>
          <t>Cash Flow</t>
        </is>
      </c>
      <c r="D124" s="22" t="inlineStr">
        <is>
          <t>Consolidated</t>
        </is>
      </c>
      <c r="E124" s="22" t="inlineStr">
        <is>
          <t>Operating cash flow</t>
        </is>
      </c>
      <c r="F124" s="23" t="n">
        <v>7709</v>
      </c>
      <c r="G124" s="22" t="inlineStr">
        <is>
          <t>$M</t>
        </is>
      </c>
    </row>
    <row r="125" ht="18" customHeight="1">
      <c r="B125" s="55" t="inlineStr">
        <is>
          <t>FY2020</t>
        </is>
      </c>
      <c r="C125" s="20" t="inlineStr">
        <is>
          <t>Cash Flow</t>
        </is>
      </c>
      <c r="D125" s="20" t="inlineStr">
        <is>
          <t>Consolidated</t>
        </is>
      </c>
      <c r="E125" s="20" t="inlineStr">
        <is>
          <t>CapEx</t>
        </is>
      </c>
      <c r="F125" s="21" t="n">
        <v>294</v>
      </c>
      <c r="G125" s="20" t="inlineStr">
        <is>
          <t>$M</t>
        </is>
      </c>
    </row>
    <row r="126" ht="18" customHeight="1">
      <c r="B126" s="57" t="inlineStr">
        <is>
          <t>FY2021</t>
        </is>
      </c>
      <c r="C126" s="22" t="inlineStr">
        <is>
          <t>Cash Flow</t>
        </is>
      </c>
      <c r="D126" s="22" t="inlineStr">
        <is>
          <t>Consolidated</t>
        </is>
      </c>
      <c r="E126" s="22" t="inlineStr">
        <is>
          <t>CapEx</t>
        </is>
      </c>
      <c r="F126" s="23" t="n">
        <v>301</v>
      </c>
      <c r="G126" s="22" t="inlineStr">
        <is>
          <t>$M</t>
        </is>
      </c>
    </row>
    <row r="127" ht="18" customHeight="1">
      <c r="B127" s="55" t="inlineStr">
        <is>
          <t>FY2022</t>
        </is>
      </c>
      <c r="C127" s="20" t="inlineStr">
        <is>
          <t>Cash Flow</t>
        </is>
      </c>
      <c r="D127" s="20" t="inlineStr">
        <is>
          <t>Consolidated</t>
        </is>
      </c>
      <c r="E127" s="20" t="inlineStr">
        <is>
          <t>CapEx</t>
        </is>
      </c>
      <c r="F127" s="21" t="n">
        <v>450</v>
      </c>
      <c r="G127" s="20" t="inlineStr">
        <is>
          <t>$M</t>
        </is>
      </c>
    </row>
    <row r="128" ht="18" customHeight="1">
      <c r="B128" s="57" t="inlineStr">
        <is>
          <t>FY2023</t>
        </is>
      </c>
      <c r="C128" s="22" t="inlineStr">
        <is>
          <t>Cash Flow</t>
        </is>
      </c>
      <c r="D128" s="22" t="inlineStr">
        <is>
          <t>Consolidated</t>
        </is>
      </c>
      <c r="E128" s="22" t="inlineStr">
        <is>
          <t>CapEx</t>
        </is>
      </c>
      <c r="F128" s="23" t="n">
        <v>546</v>
      </c>
      <c r="G128" s="22" t="inlineStr">
        <is>
          <t>$M</t>
        </is>
      </c>
    </row>
    <row r="129" ht="18" customHeight="1">
      <c r="B129" s="55" t="inlineStr">
        <is>
          <t>FY2024</t>
        </is>
      </c>
      <c r="C129" s="20" t="inlineStr">
        <is>
          <t>Cash Flow</t>
        </is>
      </c>
      <c r="D129" s="20" t="inlineStr">
        <is>
          <t>Consolidated</t>
        </is>
      </c>
      <c r="E129" s="20" t="inlineStr">
        <is>
          <t>CapEx</t>
        </is>
      </c>
      <c r="F129" s="21" t="n">
        <v>636</v>
      </c>
      <c r="G129" s="20" t="inlineStr">
        <is>
          <t>$M</t>
        </is>
      </c>
    </row>
    <row r="130" ht="18" customHeight="1">
      <c r="B130" s="57" t="inlineStr">
        <is>
          <t>FY2025</t>
        </is>
      </c>
      <c r="C130" s="22" t="inlineStr">
        <is>
          <t>Cash Flow</t>
        </is>
      </c>
      <c r="D130" s="22" t="inlineStr">
        <is>
          <t>Consolidated</t>
        </is>
      </c>
      <c r="E130" s="22" t="inlineStr">
        <is>
          <t>CapEx</t>
        </is>
      </c>
      <c r="F130" s="23" t="n">
        <v>1012</v>
      </c>
      <c r="G130" s="22" t="inlineStr">
        <is>
          <t>$M</t>
        </is>
      </c>
    </row>
    <row r="131" ht="18" customHeight="1">
      <c r="B131" s="55" t="inlineStr">
        <is>
          <t>FY2020</t>
        </is>
      </c>
      <c r="C131" s="20" t="inlineStr">
        <is>
          <t>Cash Flow</t>
        </is>
      </c>
      <c r="D131" s="20" t="inlineStr">
        <is>
          <t>Consolidated</t>
        </is>
      </c>
      <c r="E131" s="20" t="inlineStr">
        <is>
          <t>Free cash flow</t>
        </is>
      </c>
      <c r="F131" s="21" t="n">
        <v>777</v>
      </c>
      <c r="G131" s="20" t="inlineStr">
        <is>
          <t>$M</t>
        </is>
      </c>
    </row>
    <row r="132" ht="18" customHeight="1">
      <c r="B132" s="57" t="inlineStr">
        <is>
          <t>FY2021</t>
        </is>
      </c>
      <c r="C132" s="22" t="inlineStr">
        <is>
          <t>Cash Flow</t>
        </is>
      </c>
      <c r="D132" s="22" t="inlineStr">
        <is>
          <t>Consolidated</t>
        </is>
      </c>
      <c r="E132" s="22" t="inlineStr">
        <is>
          <t>Free cash flow</t>
        </is>
      </c>
      <c r="F132" s="23" t="n">
        <v>3220</v>
      </c>
      <c r="G132" s="22" t="inlineStr">
        <is>
          <t>$M</t>
        </is>
      </c>
    </row>
    <row r="133" ht="18" customHeight="1">
      <c r="B133" s="55" t="inlineStr">
        <is>
          <t>FY2022</t>
        </is>
      </c>
      <c r="C133" s="20" t="inlineStr">
        <is>
          <t>Cash Flow</t>
        </is>
      </c>
      <c r="D133" s="20" t="inlineStr">
        <is>
          <t>Consolidated</t>
        </is>
      </c>
      <c r="E133" s="20" t="inlineStr">
        <is>
          <t>Free cash flow</t>
        </is>
      </c>
      <c r="F133" s="21" t="n">
        <v>3115</v>
      </c>
      <c r="G133" s="20" t="inlineStr">
        <is>
          <t>$M</t>
        </is>
      </c>
    </row>
    <row r="134" ht="18" customHeight="1">
      <c r="B134" s="57" t="inlineStr">
        <is>
          <t>FY2023</t>
        </is>
      </c>
      <c r="C134" s="22" t="inlineStr">
        <is>
          <t>Cash Flow</t>
        </is>
      </c>
      <c r="D134" s="22" t="inlineStr">
        <is>
          <t>Consolidated</t>
        </is>
      </c>
      <c r="E134" s="22" t="inlineStr">
        <is>
          <t>Free cash flow</t>
        </is>
      </c>
      <c r="F134" s="23" t="n">
        <v>1121</v>
      </c>
      <c r="G134" s="22" t="inlineStr">
        <is>
          <t>$M</t>
        </is>
      </c>
    </row>
    <row r="135" ht="18" customHeight="1">
      <c r="B135" s="55" t="inlineStr">
        <is>
          <t>FY2024</t>
        </is>
      </c>
      <c r="C135" s="20" t="inlineStr">
        <is>
          <t>Cash Flow</t>
        </is>
      </c>
      <c r="D135" s="20" t="inlineStr">
        <is>
          <t>Consolidated</t>
        </is>
      </c>
      <c r="E135" s="20" t="inlineStr">
        <is>
          <t>Free cash flow</t>
        </is>
      </c>
      <c r="F135" s="21" t="n">
        <v>2405</v>
      </c>
      <c r="G135" s="20" t="inlineStr">
        <is>
          <t>$M</t>
        </is>
      </c>
    </row>
    <row r="136" ht="18" customHeight="1">
      <c r="B136" s="57" t="inlineStr">
        <is>
          <t>FY2025</t>
        </is>
      </c>
      <c r="C136" s="22" t="inlineStr">
        <is>
          <t>Cash Flow</t>
        </is>
      </c>
      <c r="D136" s="22" t="inlineStr">
        <is>
          <t>Consolidated</t>
        </is>
      </c>
      <c r="E136" s="22" t="inlineStr">
        <is>
          <t>Free cash flow</t>
        </is>
      </c>
      <c r="F136" s="23" t="n">
        <v>6697</v>
      </c>
      <c r="G136" s="22" t="inlineStr">
        <is>
          <t>$M</t>
        </is>
      </c>
    </row>
    <row r="137" ht="18" customHeight="1">
      <c r="B137" s="55" t="inlineStr">
        <is>
          <t>FY2020</t>
        </is>
      </c>
      <c r="C137" s="20" t="inlineStr">
        <is>
          <t>Cash Flow</t>
        </is>
      </c>
      <c r="D137" s="20" t="inlineStr">
        <is>
          <t>Consolidated</t>
        </is>
      </c>
      <c r="E137" s="20" t="inlineStr">
        <is>
          <t>Net cash investing</t>
        </is>
      </c>
      <c r="F137" s="21" t="n">
        <v>-952</v>
      </c>
      <c r="G137" s="20" t="inlineStr">
        <is>
          <t>$M</t>
        </is>
      </c>
    </row>
    <row r="138" ht="18" customHeight="1">
      <c r="B138" s="57" t="inlineStr">
        <is>
          <t>FY2021</t>
        </is>
      </c>
      <c r="C138" s="22" t="inlineStr">
        <is>
          <t>Cash Flow</t>
        </is>
      </c>
      <c r="D138" s="22" t="inlineStr">
        <is>
          <t>Consolidated</t>
        </is>
      </c>
      <c r="E138" s="22" t="inlineStr">
        <is>
          <t>Net cash investing</t>
        </is>
      </c>
      <c r="F138" s="23" t="n">
        <v>-686</v>
      </c>
      <c r="G138" s="22" t="inlineStr">
        <is>
          <t>$M</t>
        </is>
      </c>
    </row>
    <row r="139" ht="18" customHeight="1">
      <c r="B139" s="55" t="inlineStr">
        <is>
          <t>FY2022</t>
        </is>
      </c>
      <c r="C139" s="20" t="inlineStr">
        <is>
          <t>Cash Flow</t>
        </is>
      </c>
      <c r="D139" s="20" t="inlineStr">
        <is>
          <t>Consolidated</t>
        </is>
      </c>
      <c r="E139" s="20" t="inlineStr">
        <is>
          <t>Net cash investing</t>
        </is>
      </c>
      <c r="F139" s="21" t="n">
        <v>1999</v>
      </c>
      <c r="G139" s="20" t="inlineStr">
        <is>
          <t>$M</t>
        </is>
      </c>
    </row>
    <row r="140" ht="18" customHeight="1">
      <c r="B140" s="57" t="inlineStr">
        <is>
          <t>FY2023</t>
        </is>
      </c>
      <c r="C140" s="22" t="inlineStr">
        <is>
          <t>Cash Flow</t>
        </is>
      </c>
      <c r="D140" s="22" t="inlineStr">
        <is>
          <t>Consolidated</t>
        </is>
      </c>
      <c r="E140" s="22" t="inlineStr">
        <is>
          <t>Net cash investing</t>
        </is>
      </c>
      <c r="F140" s="23" t="n">
        <v>-1423</v>
      </c>
      <c r="G140" s="22" t="inlineStr">
        <is>
          <t>$M</t>
        </is>
      </c>
    </row>
    <row r="141" ht="18" customHeight="1">
      <c r="B141" s="55" t="inlineStr">
        <is>
          <t>FY2024</t>
        </is>
      </c>
      <c r="C141" s="20" t="inlineStr">
        <is>
          <t>Cash Flow</t>
        </is>
      </c>
      <c r="D141" s="20" t="inlineStr">
        <is>
          <t>Consolidated</t>
        </is>
      </c>
      <c r="E141" s="20" t="inlineStr">
        <is>
          <t>Net cash investing</t>
        </is>
      </c>
      <c r="F141" s="21" t="n">
        <v>-1101</v>
      </c>
      <c r="G141" s="20" t="inlineStr">
        <is>
          <t>$M</t>
        </is>
      </c>
    </row>
    <row r="142" ht="18" customHeight="1">
      <c r="B142" s="57" t="inlineStr">
        <is>
          <t>FY2025</t>
        </is>
      </c>
      <c r="C142" s="22" t="inlineStr">
        <is>
          <t>Cash Flow</t>
        </is>
      </c>
      <c r="D142" s="22" t="inlineStr">
        <is>
          <t>Consolidated</t>
        </is>
      </c>
      <c r="E142" s="22" t="inlineStr">
        <is>
          <t>Net cash investing</t>
        </is>
      </c>
      <c r="F142" s="23" t="n">
        <v>-5533</v>
      </c>
      <c r="G142" s="22" t="inlineStr">
        <is>
          <t>$M</t>
        </is>
      </c>
    </row>
    <row r="143" ht="18" customHeight="1">
      <c r="B143" s="55" t="inlineStr">
        <is>
          <t>FY2020</t>
        </is>
      </c>
      <c r="C143" s="20" t="inlineStr">
        <is>
          <t>Cash Flow</t>
        </is>
      </c>
      <c r="D143" s="20" t="inlineStr">
        <is>
          <t>Consolidated</t>
        </is>
      </c>
      <c r="E143" s="20" t="inlineStr">
        <is>
          <t>Net cash financing</t>
        </is>
      </c>
      <c r="F143" s="21" t="n">
        <v>6</v>
      </c>
      <c r="G143" s="20" t="inlineStr">
        <is>
          <t>$M</t>
        </is>
      </c>
    </row>
    <row r="144" ht="18" customHeight="1">
      <c r="B144" s="57" t="inlineStr">
        <is>
          <t>FY2021</t>
        </is>
      </c>
      <c r="C144" s="22" t="inlineStr">
        <is>
          <t>Cash Flow</t>
        </is>
      </c>
      <c r="D144" s="22" t="inlineStr">
        <is>
          <t>Consolidated</t>
        </is>
      </c>
      <c r="E144" s="22" t="inlineStr">
        <is>
          <t>Net cash financing</t>
        </is>
      </c>
      <c r="F144" s="23" t="n">
        <v>-1895</v>
      </c>
      <c r="G144" s="22" t="inlineStr">
        <is>
          <t>$M</t>
        </is>
      </c>
    </row>
    <row r="145" ht="18" customHeight="1">
      <c r="B145" s="55" t="inlineStr">
        <is>
          <t>FY2022</t>
        </is>
      </c>
      <c r="C145" s="20" t="inlineStr">
        <is>
          <t>Cash Flow</t>
        </is>
      </c>
      <c r="D145" s="20" t="inlineStr">
        <is>
          <t>Consolidated</t>
        </is>
      </c>
      <c r="E145" s="20" t="inlineStr">
        <is>
          <t>Net cash financing</t>
        </is>
      </c>
      <c r="F145" s="21" t="n">
        <v>-3264</v>
      </c>
      <c r="G145" s="20" t="inlineStr">
        <is>
          <t>$M</t>
        </is>
      </c>
    </row>
    <row r="146" ht="18" customHeight="1">
      <c r="B146" s="57" t="inlineStr">
        <is>
          <t>FY2023</t>
        </is>
      </c>
      <c r="C146" s="22" t="inlineStr">
        <is>
          <t>Cash Flow</t>
        </is>
      </c>
      <c r="D146" s="22" t="inlineStr">
        <is>
          <t>Consolidated</t>
        </is>
      </c>
      <c r="E146" s="22" t="inlineStr">
        <is>
          <t>Net cash financing</t>
        </is>
      </c>
      <c r="F146" s="23" t="n">
        <v>-1146</v>
      </c>
      <c r="G146" s="22" t="inlineStr">
        <is>
          <t>$M</t>
        </is>
      </c>
    </row>
    <row r="147" ht="18" customHeight="1">
      <c r="B147" s="55" t="inlineStr">
        <is>
          <t>FY2024</t>
        </is>
      </c>
      <c r="C147" s="20" t="inlineStr">
        <is>
          <t>Cash Flow</t>
        </is>
      </c>
      <c r="D147" s="20" t="inlineStr">
        <is>
          <t>Consolidated</t>
        </is>
      </c>
      <c r="E147" s="20" t="inlineStr">
        <is>
          <t>Net cash financing</t>
        </is>
      </c>
      <c r="F147" s="21" t="n">
        <v>-2062</v>
      </c>
      <c r="G147" s="20" t="inlineStr">
        <is>
          <t>$M</t>
        </is>
      </c>
    </row>
    <row r="148" ht="18" customHeight="1">
      <c r="B148" s="57" t="inlineStr">
        <is>
          <t>FY2025</t>
        </is>
      </c>
      <c r="C148" s="22" t="inlineStr">
        <is>
          <t>Cash Flow</t>
        </is>
      </c>
      <c r="D148" s="22" t="inlineStr">
        <is>
          <t>Consolidated</t>
        </is>
      </c>
      <c r="E148" s="22" t="inlineStr">
        <is>
          <t>Net cash financing</t>
        </is>
      </c>
      <c r="F148" s="23" t="n">
        <v>-431</v>
      </c>
      <c r="G148" s="22" t="inlineStr">
        <is>
          <t>$M</t>
        </is>
      </c>
    </row>
    <row r="149" ht="18" customHeight="1">
      <c r="B149" s="55" t="inlineStr">
        <is>
          <t>FY2020</t>
        </is>
      </c>
      <c r="C149" s="20" t="inlineStr">
        <is>
          <t>Cash Flow</t>
        </is>
      </c>
      <c r="D149" s="20" t="inlineStr">
        <is>
          <t>Consolidated</t>
        </is>
      </c>
      <c r="E149" s="20" t="inlineStr">
        <is>
          <t>Stock repurchases</t>
        </is>
      </c>
      <c r="F149" s="21" t="n">
        <v>0</v>
      </c>
      <c r="G149" s="20" t="inlineStr">
        <is>
          <t>$M</t>
        </is>
      </c>
    </row>
    <row r="150" ht="18" customHeight="1">
      <c r="B150" s="57" t="inlineStr">
        <is>
          <t>FY2021</t>
        </is>
      </c>
      <c r="C150" s="22" t="inlineStr">
        <is>
          <t>Cash Flow</t>
        </is>
      </c>
      <c r="D150" s="22" t="inlineStr">
        <is>
          <t>Consolidated</t>
        </is>
      </c>
      <c r="E150" s="22" t="inlineStr">
        <is>
          <t>Stock repurchases</t>
        </is>
      </c>
      <c r="F150" s="23" t="n">
        <v>-1762</v>
      </c>
      <c r="G150" s="22" t="inlineStr">
        <is>
          <t>$M</t>
        </is>
      </c>
    </row>
    <row r="151" ht="18" customHeight="1">
      <c r="B151" s="55" t="inlineStr">
        <is>
          <t>FY2022</t>
        </is>
      </c>
      <c r="C151" s="20" t="inlineStr">
        <is>
          <t>Cash Flow</t>
        </is>
      </c>
      <c r="D151" s="20" t="inlineStr">
        <is>
          <t>Consolidated</t>
        </is>
      </c>
      <c r="E151" s="20" t="inlineStr">
        <is>
          <t>Stock repurchases</t>
        </is>
      </c>
      <c r="F151" s="21" t="n">
        <v>-3702</v>
      </c>
      <c r="G151" s="20" t="inlineStr">
        <is>
          <t>$M</t>
        </is>
      </c>
    </row>
    <row r="152" ht="18" customHeight="1">
      <c r="B152" s="57" t="inlineStr">
        <is>
          <t>FY2023</t>
        </is>
      </c>
      <c r="C152" s="22" t="inlineStr">
        <is>
          <t>Cash Flow</t>
        </is>
      </c>
      <c r="D152" s="22" t="inlineStr">
        <is>
          <t>Consolidated</t>
        </is>
      </c>
      <c r="E152" s="22" t="inlineStr">
        <is>
          <t>Stock repurchases</t>
        </is>
      </c>
      <c r="F152" s="23" t="n">
        <v>-985</v>
      </c>
      <c r="G152" s="22" t="inlineStr">
        <is>
          <t>$M</t>
        </is>
      </c>
    </row>
    <row r="153" ht="18" customHeight="1">
      <c r="B153" s="55" t="inlineStr">
        <is>
          <t>FY2024</t>
        </is>
      </c>
      <c r="C153" s="20" t="inlineStr">
        <is>
          <t>Cash Flow</t>
        </is>
      </c>
      <c r="D153" s="20" t="inlineStr">
        <is>
          <t>Consolidated</t>
        </is>
      </c>
      <c r="E153" s="20" t="inlineStr">
        <is>
          <t>Stock repurchases</t>
        </is>
      </c>
      <c r="F153" s="21" t="n">
        <v>-862</v>
      </c>
      <c r="G153" s="20" t="inlineStr">
        <is>
          <t>$M</t>
        </is>
      </c>
    </row>
    <row r="154" ht="18" customHeight="1">
      <c r="B154" s="57" t="inlineStr">
        <is>
          <t>FY2025</t>
        </is>
      </c>
      <c r="C154" s="22" t="inlineStr">
        <is>
          <t>Cash Flow</t>
        </is>
      </c>
      <c r="D154" s="22" t="inlineStr">
        <is>
          <t>Consolidated</t>
        </is>
      </c>
      <c r="E154" s="22" t="inlineStr">
        <is>
          <t>Stock repurchases</t>
        </is>
      </c>
      <c r="F154" s="23" t="n">
        <v>-1316</v>
      </c>
      <c r="G154" s="22" t="inlineStr">
        <is>
          <t>$M</t>
        </is>
      </c>
    </row>
    <row r="155" ht="18" customHeight="1">
      <c r="B155" s="55" t="inlineStr">
        <is>
          <t>FY2020</t>
        </is>
      </c>
      <c r="C155" s="20" t="inlineStr">
        <is>
          <t>Segment Revenue</t>
        </is>
      </c>
      <c r="D155" s="20" t="inlineStr">
        <is>
          <t>Data Center</t>
        </is>
      </c>
      <c r="E155" s="20" t="inlineStr">
        <is>
          <t>Revenue</t>
        </is>
      </c>
      <c r="F155" s="21" t="n">
        <v>1685</v>
      </c>
      <c r="G155" s="20" t="inlineStr">
        <is>
          <t>$M</t>
        </is>
      </c>
    </row>
    <row r="156" ht="18" customHeight="1">
      <c r="B156" s="57" t="inlineStr">
        <is>
          <t>FY2021</t>
        </is>
      </c>
      <c r="C156" s="22" t="inlineStr">
        <is>
          <t>Segment Revenue</t>
        </is>
      </c>
      <c r="D156" s="22" t="inlineStr">
        <is>
          <t>Data Center</t>
        </is>
      </c>
      <c r="E156" s="22" t="inlineStr">
        <is>
          <t>Revenue</t>
        </is>
      </c>
      <c r="F156" s="23" t="n">
        <v>3694</v>
      </c>
      <c r="G156" s="22" t="inlineStr">
        <is>
          <t>$M</t>
        </is>
      </c>
    </row>
    <row r="157" ht="18" customHeight="1">
      <c r="B157" s="55" t="inlineStr">
        <is>
          <t>FY2022</t>
        </is>
      </c>
      <c r="C157" s="20" t="inlineStr">
        <is>
          <t>Segment Revenue</t>
        </is>
      </c>
      <c r="D157" s="20" t="inlineStr">
        <is>
          <t>Data Center</t>
        </is>
      </c>
      <c r="E157" s="20" t="inlineStr">
        <is>
          <t>Revenue</t>
        </is>
      </c>
      <c r="F157" s="21" t="n">
        <v>6043</v>
      </c>
      <c r="G157" s="20" t="inlineStr">
        <is>
          <t>$M</t>
        </is>
      </c>
    </row>
    <row r="158" ht="18" customHeight="1">
      <c r="B158" s="57" t="inlineStr">
        <is>
          <t>FY2023</t>
        </is>
      </c>
      <c r="C158" s="22" t="inlineStr">
        <is>
          <t>Segment Revenue</t>
        </is>
      </c>
      <c r="D158" s="22" t="inlineStr">
        <is>
          <t>Data Center</t>
        </is>
      </c>
      <c r="E158" s="22" t="inlineStr">
        <is>
          <t>Revenue</t>
        </is>
      </c>
      <c r="F158" s="23" t="n">
        <v>6496</v>
      </c>
      <c r="G158" s="22" t="inlineStr">
        <is>
          <t>$M</t>
        </is>
      </c>
    </row>
    <row r="159" ht="18" customHeight="1">
      <c r="B159" s="55" t="inlineStr">
        <is>
          <t>FY2024</t>
        </is>
      </c>
      <c r="C159" s="20" t="inlineStr">
        <is>
          <t>Segment Revenue</t>
        </is>
      </c>
      <c r="D159" s="20" t="inlineStr">
        <is>
          <t>Data Center</t>
        </is>
      </c>
      <c r="E159" s="20" t="inlineStr">
        <is>
          <t>Revenue</t>
        </is>
      </c>
      <c r="F159" s="21" t="n">
        <v>12579</v>
      </c>
      <c r="G159" s="20" t="inlineStr">
        <is>
          <t>$M</t>
        </is>
      </c>
    </row>
    <row r="160" ht="18" customHeight="1">
      <c r="B160" s="57" t="inlineStr">
        <is>
          <t>FY2025</t>
        </is>
      </c>
      <c r="C160" s="22" t="inlineStr">
        <is>
          <t>Segment Revenue</t>
        </is>
      </c>
      <c r="D160" s="22" t="inlineStr">
        <is>
          <t>Data Center</t>
        </is>
      </c>
      <c r="E160" s="22" t="inlineStr">
        <is>
          <t>Revenue</t>
        </is>
      </c>
      <c r="F160" s="23" t="n">
        <v>16635</v>
      </c>
      <c r="G160" s="22" t="inlineStr">
        <is>
          <t>$M</t>
        </is>
      </c>
    </row>
    <row r="161" ht="18" customHeight="1">
      <c r="B161" s="55" t="inlineStr">
        <is>
          <t>FY2020</t>
        </is>
      </c>
      <c r="C161" s="20" t="inlineStr">
        <is>
          <t>Segment Revenue</t>
        </is>
      </c>
      <c r="D161" s="20" t="inlineStr">
        <is>
          <t>Client</t>
        </is>
      </c>
      <c r="E161" s="20" t="inlineStr">
        <is>
          <t>Revenue</t>
        </is>
      </c>
      <c r="F161" s="21" t="n">
        <v>5189</v>
      </c>
      <c r="G161" s="20" t="inlineStr">
        <is>
          <t>$M</t>
        </is>
      </c>
    </row>
    <row r="162" ht="18" customHeight="1">
      <c r="B162" s="57" t="inlineStr">
        <is>
          <t>FY2021</t>
        </is>
      </c>
      <c r="C162" s="22" t="inlineStr">
        <is>
          <t>Segment Revenue</t>
        </is>
      </c>
      <c r="D162" s="22" t="inlineStr">
        <is>
          <t>Client</t>
        </is>
      </c>
      <c r="E162" s="22" t="inlineStr">
        <is>
          <t>Revenue</t>
        </is>
      </c>
      <c r="F162" s="23" t="n">
        <v>6887</v>
      </c>
      <c r="G162" s="22" t="inlineStr">
        <is>
          <t>$M</t>
        </is>
      </c>
    </row>
    <row r="163" ht="18" customHeight="1">
      <c r="B163" s="55" t="inlineStr">
        <is>
          <t>FY2022</t>
        </is>
      </c>
      <c r="C163" s="20" t="inlineStr">
        <is>
          <t>Segment Revenue</t>
        </is>
      </c>
      <c r="D163" s="20" t="inlineStr">
        <is>
          <t>Client</t>
        </is>
      </c>
      <c r="E163" s="20" t="inlineStr">
        <is>
          <t>Revenue</t>
        </is>
      </c>
      <c r="F163" s="21" t="n">
        <v>6201</v>
      </c>
      <c r="G163" s="20" t="inlineStr">
        <is>
          <t>$M</t>
        </is>
      </c>
    </row>
    <row r="164" ht="18" customHeight="1">
      <c r="B164" s="57" t="inlineStr">
        <is>
          <t>FY2023</t>
        </is>
      </c>
      <c r="C164" s="22" t="inlineStr">
        <is>
          <t>Segment Revenue</t>
        </is>
      </c>
      <c r="D164" s="22" t="inlineStr">
        <is>
          <t>Client</t>
        </is>
      </c>
      <c r="E164" s="22" t="inlineStr">
        <is>
          <t>Revenue</t>
        </is>
      </c>
      <c r="F164" s="23" t="n">
        <v>4651</v>
      </c>
      <c r="G164" s="22" t="inlineStr">
        <is>
          <t>$M</t>
        </is>
      </c>
    </row>
    <row r="165" ht="18" customHeight="1">
      <c r="B165" s="55" t="inlineStr">
        <is>
          <t>FY2024</t>
        </is>
      </c>
      <c r="C165" s="20" t="inlineStr">
        <is>
          <t>Segment Revenue</t>
        </is>
      </c>
      <c r="D165" s="20" t="inlineStr">
        <is>
          <t>Client</t>
        </is>
      </c>
      <c r="E165" s="20" t="inlineStr">
        <is>
          <t>Revenue</t>
        </is>
      </c>
      <c r="F165" s="21" t="n">
        <v>7054</v>
      </c>
      <c r="G165" s="20" t="inlineStr">
        <is>
          <t>$M</t>
        </is>
      </c>
    </row>
    <row r="166" ht="18" customHeight="1">
      <c r="B166" s="57" t="inlineStr">
        <is>
          <t>FY2025</t>
        </is>
      </c>
      <c r="C166" s="22" t="inlineStr">
        <is>
          <t>Segment Revenue</t>
        </is>
      </c>
      <c r="D166" s="22" t="inlineStr">
        <is>
          <t>Client</t>
        </is>
      </c>
      <c r="E166" s="22" t="inlineStr">
        <is>
          <t>Revenue</t>
        </is>
      </c>
      <c r="F166" s="23" t="n">
        <v>10640</v>
      </c>
      <c r="G166" s="22" t="inlineStr">
        <is>
          <t>$M</t>
        </is>
      </c>
    </row>
    <row r="167" ht="18" customHeight="1">
      <c r="B167" s="55" t="inlineStr">
        <is>
          <t>FY2020</t>
        </is>
      </c>
      <c r="C167" s="20" t="inlineStr">
        <is>
          <t>Segment Revenue</t>
        </is>
      </c>
      <c r="D167" s="20" t="inlineStr">
        <is>
          <t>Gaming</t>
        </is>
      </c>
      <c r="E167" s="20" t="inlineStr">
        <is>
          <t>Revenue</t>
        </is>
      </c>
      <c r="F167" s="21" t="n">
        <v>2746</v>
      </c>
      <c r="G167" s="20" t="inlineStr">
        <is>
          <t>$M</t>
        </is>
      </c>
    </row>
    <row r="168" ht="18" customHeight="1">
      <c r="B168" s="57" t="inlineStr">
        <is>
          <t>FY2021</t>
        </is>
      </c>
      <c r="C168" s="22" t="inlineStr">
        <is>
          <t>Segment Revenue</t>
        </is>
      </c>
      <c r="D168" s="22" t="inlineStr">
        <is>
          <t>Gaming</t>
        </is>
      </c>
      <c r="E168" s="22" t="inlineStr">
        <is>
          <t>Revenue</t>
        </is>
      </c>
      <c r="F168" s="23" t="n">
        <v>5607</v>
      </c>
      <c r="G168" s="22" t="inlineStr">
        <is>
          <t>$M</t>
        </is>
      </c>
    </row>
    <row r="169" ht="18" customHeight="1">
      <c r="B169" s="55" t="inlineStr">
        <is>
          <t>FY2022</t>
        </is>
      </c>
      <c r="C169" s="20" t="inlineStr">
        <is>
          <t>Segment Revenue</t>
        </is>
      </c>
      <c r="D169" s="20" t="inlineStr">
        <is>
          <t>Gaming</t>
        </is>
      </c>
      <c r="E169" s="20" t="inlineStr">
        <is>
          <t>Revenue</t>
        </is>
      </c>
      <c r="F169" s="21" t="n">
        <v>6805</v>
      </c>
      <c r="G169" s="20" t="inlineStr">
        <is>
          <t>$M</t>
        </is>
      </c>
    </row>
    <row r="170" ht="18" customHeight="1">
      <c r="B170" s="57" t="inlineStr">
        <is>
          <t>FY2023</t>
        </is>
      </c>
      <c r="C170" s="22" t="inlineStr">
        <is>
          <t>Segment Revenue</t>
        </is>
      </c>
      <c r="D170" s="22" t="inlineStr">
        <is>
          <t>Gaming</t>
        </is>
      </c>
      <c r="E170" s="22" t="inlineStr">
        <is>
          <t>Revenue</t>
        </is>
      </c>
      <c r="F170" s="23" t="n">
        <v>6212</v>
      </c>
      <c r="G170" s="22" t="inlineStr">
        <is>
          <t>$M</t>
        </is>
      </c>
    </row>
    <row r="171" ht="18" customHeight="1">
      <c r="B171" s="55" t="inlineStr">
        <is>
          <t>FY2024</t>
        </is>
      </c>
      <c r="C171" s="20" t="inlineStr">
        <is>
          <t>Segment Revenue</t>
        </is>
      </c>
      <c r="D171" s="20" t="inlineStr">
        <is>
          <t>Gaming</t>
        </is>
      </c>
      <c r="E171" s="20" t="inlineStr">
        <is>
          <t>Revenue</t>
        </is>
      </c>
      <c r="F171" s="21" t="n">
        <v>2595</v>
      </c>
      <c r="G171" s="20" t="inlineStr">
        <is>
          <t>$M</t>
        </is>
      </c>
    </row>
    <row r="172" ht="18" customHeight="1">
      <c r="B172" s="57" t="inlineStr">
        <is>
          <t>FY2025</t>
        </is>
      </c>
      <c r="C172" s="22" t="inlineStr">
        <is>
          <t>Segment Revenue</t>
        </is>
      </c>
      <c r="D172" s="22" t="inlineStr">
        <is>
          <t>Gaming</t>
        </is>
      </c>
      <c r="E172" s="22" t="inlineStr">
        <is>
          <t>Revenue</t>
        </is>
      </c>
      <c r="F172" s="23" t="n">
        <v>3910</v>
      </c>
      <c r="G172" s="22" t="inlineStr">
        <is>
          <t>$M</t>
        </is>
      </c>
    </row>
    <row r="173" ht="18" customHeight="1">
      <c r="B173" s="55" t="inlineStr">
        <is>
          <t>FY2020</t>
        </is>
      </c>
      <c r="C173" s="20" t="inlineStr">
        <is>
          <t>Segment Revenue</t>
        </is>
      </c>
      <c r="D173" s="20" t="inlineStr">
        <is>
          <t>Embedded</t>
        </is>
      </c>
      <c r="E173" s="20" t="inlineStr">
        <is>
          <t>Revenue</t>
        </is>
      </c>
      <c r="F173" s="21" t="n">
        <v>143</v>
      </c>
      <c r="G173" s="20" t="inlineStr">
        <is>
          <t>$M</t>
        </is>
      </c>
    </row>
    <row r="174" ht="18" customHeight="1">
      <c r="B174" s="57" t="inlineStr">
        <is>
          <t>FY2021</t>
        </is>
      </c>
      <c r="C174" s="22" t="inlineStr">
        <is>
          <t>Segment Revenue</t>
        </is>
      </c>
      <c r="D174" s="22" t="inlineStr">
        <is>
          <t>Embedded</t>
        </is>
      </c>
      <c r="E174" s="22" t="inlineStr">
        <is>
          <t>Revenue</t>
        </is>
      </c>
      <c r="F174" s="23" t="n">
        <v>246</v>
      </c>
      <c r="G174" s="22" t="inlineStr">
        <is>
          <t>$M</t>
        </is>
      </c>
    </row>
    <row r="175" ht="18" customHeight="1">
      <c r="B175" s="55" t="inlineStr">
        <is>
          <t>FY2022</t>
        </is>
      </c>
      <c r="C175" s="20" t="inlineStr">
        <is>
          <t>Segment Revenue</t>
        </is>
      </c>
      <c r="D175" s="20" t="inlineStr">
        <is>
          <t>Embedded</t>
        </is>
      </c>
      <c r="E175" s="20" t="inlineStr">
        <is>
          <t>Revenue</t>
        </is>
      </c>
      <c r="F175" s="21" t="n">
        <v>4552</v>
      </c>
      <c r="G175" s="20" t="inlineStr">
        <is>
          <t>$M</t>
        </is>
      </c>
    </row>
    <row r="176" ht="18" customHeight="1">
      <c r="B176" s="57" t="inlineStr">
        <is>
          <t>FY2023</t>
        </is>
      </c>
      <c r="C176" s="22" t="inlineStr">
        <is>
          <t>Segment Revenue</t>
        </is>
      </c>
      <c r="D176" s="22" t="inlineStr">
        <is>
          <t>Embedded</t>
        </is>
      </c>
      <c r="E176" s="22" t="inlineStr">
        <is>
          <t>Revenue</t>
        </is>
      </c>
      <c r="F176" s="23" t="n">
        <v>5321</v>
      </c>
      <c r="G176" s="22" t="inlineStr">
        <is>
          <t>$M</t>
        </is>
      </c>
    </row>
    <row r="177" ht="18" customHeight="1">
      <c r="B177" s="55" t="inlineStr">
        <is>
          <t>FY2024</t>
        </is>
      </c>
      <c r="C177" s="20" t="inlineStr">
        <is>
          <t>Segment Revenue</t>
        </is>
      </c>
      <c r="D177" s="20" t="inlineStr">
        <is>
          <t>Embedded</t>
        </is>
      </c>
      <c r="E177" s="20" t="inlineStr">
        <is>
          <t>Revenue</t>
        </is>
      </c>
      <c r="F177" s="21" t="n">
        <v>3557</v>
      </c>
      <c r="G177" s="20" t="inlineStr">
        <is>
          <t>$M</t>
        </is>
      </c>
    </row>
    <row r="178" ht="18" customHeight="1">
      <c r="B178" s="57" t="inlineStr">
        <is>
          <t>FY2025</t>
        </is>
      </c>
      <c r="C178" s="22" t="inlineStr">
        <is>
          <t>Segment Revenue</t>
        </is>
      </c>
      <c r="D178" s="22" t="inlineStr">
        <is>
          <t>Embedded</t>
        </is>
      </c>
      <c r="E178" s="22" t="inlineStr">
        <is>
          <t>Revenue</t>
        </is>
      </c>
      <c r="F178" s="23" t="n">
        <v>3454</v>
      </c>
      <c r="G178" s="22" t="inlineStr">
        <is>
          <t>$M</t>
        </is>
      </c>
    </row>
    <row r="179" ht="18" customHeight="1">
      <c r="B179" s="55" t="inlineStr">
        <is>
          <t>FY2020</t>
        </is>
      </c>
      <c r="C179" s="20" t="inlineStr">
        <is>
          <t>Segment Operating Income</t>
        </is>
      </c>
      <c r="D179" s="20" t="inlineStr">
        <is>
          <t>Data Center</t>
        </is>
      </c>
      <c r="E179" s="20" t="inlineStr">
        <is>
          <t>Operating Income</t>
        </is>
      </c>
      <c r="F179" s="21" t="n">
        <v>198</v>
      </c>
      <c r="G179" s="20" t="inlineStr">
        <is>
          <t>$M</t>
        </is>
      </c>
    </row>
    <row r="180" ht="18" customHeight="1">
      <c r="B180" s="57" t="inlineStr">
        <is>
          <t>FY2021</t>
        </is>
      </c>
      <c r="C180" s="22" t="inlineStr">
        <is>
          <t>Segment Operating Income</t>
        </is>
      </c>
      <c r="D180" s="22" t="inlineStr">
        <is>
          <t>Data Center</t>
        </is>
      </c>
      <c r="E180" s="22" t="inlineStr">
        <is>
          <t>Operating Income</t>
        </is>
      </c>
      <c r="F180" s="23" t="n">
        <v>991</v>
      </c>
      <c r="G180" s="22" t="inlineStr">
        <is>
          <t>$M</t>
        </is>
      </c>
    </row>
    <row r="181" ht="18" customHeight="1">
      <c r="B181" s="55" t="inlineStr">
        <is>
          <t>FY2022</t>
        </is>
      </c>
      <c r="C181" s="20" t="inlineStr">
        <is>
          <t>Segment Operating Income</t>
        </is>
      </c>
      <c r="D181" s="20" t="inlineStr">
        <is>
          <t>Data Center</t>
        </is>
      </c>
      <c r="E181" s="20" t="inlineStr">
        <is>
          <t>Operating Income</t>
        </is>
      </c>
      <c r="F181" s="21" t="n">
        <v>1848</v>
      </c>
      <c r="G181" s="20" t="inlineStr">
        <is>
          <t>$M</t>
        </is>
      </c>
    </row>
    <row r="182" ht="18" customHeight="1">
      <c r="B182" s="57" t="inlineStr">
        <is>
          <t>FY2023</t>
        </is>
      </c>
      <c r="C182" s="22" t="inlineStr">
        <is>
          <t>Segment Operating Income</t>
        </is>
      </c>
      <c r="D182" s="22" t="inlineStr">
        <is>
          <t>Data Center</t>
        </is>
      </c>
      <c r="E182" s="22" t="inlineStr">
        <is>
          <t>Operating Income</t>
        </is>
      </c>
      <c r="F182" s="23" t="n">
        <v>1267</v>
      </c>
      <c r="G182" s="22" t="inlineStr">
        <is>
          <t>$M</t>
        </is>
      </c>
    </row>
    <row r="183" ht="18" customHeight="1">
      <c r="B183" s="55" t="inlineStr">
        <is>
          <t>FY2024</t>
        </is>
      </c>
      <c r="C183" s="20" t="inlineStr">
        <is>
          <t>Segment Operating Income</t>
        </is>
      </c>
      <c r="D183" s="20" t="inlineStr">
        <is>
          <t>Data Center</t>
        </is>
      </c>
      <c r="E183" s="20" t="inlineStr">
        <is>
          <t>Operating Income</t>
        </is>
      </c>
      <c r="F183" s="21" t="n">
        <v>3482</v>
      </c>
      <c r="G183" s="20" t="inlineStr">
        <is>
          <t>$M</t>
        </is>
      </c>
    </row>
    <row r="184" ht="18" customHeight="1">
      <c r="B184" s="57" t="inlineStr">
        <is>
          <t>FY2025</t>
        </is>
      </c>
      <c r="C184" s="22" t="inlineStr">
        <is>
          <t>Segment Operating Income</t>
        </is>
      </c>
      <c r="D184" s="22" t="inlineStr">
        <is>
          <t>Data Center</t>
        </is>
      </c>
      <c r="E184" s="22" t="inlineStr">
        <is>
          <t>Operating Income</t>
        </is>
      </c>
      <c r="F184" s="23" t="n">
        <v>3603</v>
      </c>
      <c r="G184" s="22" t="inlineStr">
        <is>
          <t>$M</t>
        </is>
      </c>
    </row>
    <row r="185" ht="18" customHeight="1">
      <c r="B185" s="55" t="inlineStr">
        <is>
          <t>FY2020</t>
        </is>
      </c>
      <c r="C185" s="20" t="inlineStr">
        <is>
          <t>Segment Operating Income</t>
        </is>
      </c>
      <c r="D185" s="20" t="inlineStr">
        <is>
          <t>Client</t>
        </is>
      </c>
      <c r="E185" s="20" t="inlineStr">
        <is>
          <t>Operating Income</t>
        </is>
      </c>
      <c r="F185" s="21" t="n">
        <v>1608</v>
      </c>
      <c r="G185" s="20" t="inlineStr">
        <is>
          <t>$M</t>
        </is>
      </c>
    </row>
    <row r="186" ht="18" customHeight="1">
      <c r="B186" s="57" t="inlineStr">
        <is>
          <t>FY2021</t>
        </is>
      </c>
      <c r="C186" s="22" t="inlineStr">
        <is>
          <t>Segment Operating Income</t>
        </is>
      </c>
      <c r="D186" s="22" t="inlineStr">
        <is>
          <t>Client</t>
        </is>
      </c>
      <c r="E186" s="22" t="inlineStr">
        <is>
          <t>Operating Income</t>
        </is>
      </c>
      <c r="F186" s="23" t="n">
        <v>2088</v>
      </c>
      <c r="G186" s="22" t="inlineStr">
        <is>
          <t>$M</t>
        </is>
      </c>
    </row>
    <row r="187" ht="18" customHeight="1">
      <c r="B187" s="55" t="inlineStr">
        <is>
          <t>FY2022</t>
        </is>
      </c>
      <c r="C187" s="20" t="inlineStr">
        <is>
          <t>Segment Operating Income</t>
        </is>
      </c>
      <c r="D187" s="20" t="inlineStr">
        <is>
          <t>Client</t>
        </is>
      </c>
      <c r="E187" s="20" t="inlineStr">
        <is>
          <t>Operating Income</t>
        </is>
      </c>
      <c r="F187" s="21" t="n">
        <v>1190</v>
      </c>
      <c r="G187" s="20" t="inlineStr">
        <is>
          <t>$M</t>
        </is>
      </c>
    </row>
    <row r="188" ht="18" customHeight="1">
      <c r="B188" s="57" t="inlineStr">
        <is>
          <t>FY2023</t>
        </is>
      </c>
      <c r="C188" s="22" t="inlineStr">
        <is>
          <t>Segment Operating Income</t>
        </is>
      </c>
      <c r="D188" s="22" t="inlineStr">
        <is>
          <t>Client</t>
        </is>
      </c>
      <c r="E188" s="22" t="inlineStr">
        <is>
          <t>Operating Income</t>
        </is>
      </c>
      <c r="F188" s="23" t="n">
        <v>-46</v>
      </c>
      <c r="G188" s="22" t="inlineStr">
        <is>
          <t>$M</t>
        </is>
      </c>
    </row>
    <row r="189" ht="18" customHeight="1">
      <c r="B189" s="55" t="inlineStr">
        <is>
          <t>FY2024</t>
        </is>
      </c>
      <c r="C189" s="20" t="inlineStr">
        <is>
          <t>Segment Operating Income</t>
        </is>
      </c>
      <c r="D189" s="20" t="inlineStr">
        <is>
          <t>Client</t>
        </is>
      </c>
      <c r="E189" s="20" t="inlineStr">
        <is>
          <t>Operating Income</t>
        </is>
      </c>
      <c r="F189" s="21" t="n">
        <v>897</v>
      </c>
      <c r="G189" s="20" t="inlineStr">
        <is>
          <t>$M</t>
        </is>
      </c>
    </row>
    <row r="190" ht="18" customHeight="1">
      <c r="B190" s="57" t="inlineStr">
        <is>
          <t>FY2020</t>
        </is>
      </c>
      <c r="C190" s="22" t="inlineStr">
        <is>
          <t>Segment Operating Income</t>
        </is>
      </c>
      <c r="D190" s="22" t="inlineStr">
        <is>
          <t>Gaming</t>
        </is>
      </c>
      <c r="E190" s="22" t="inlineStr">
        <is>
          <t>Operating Income</t>
        </is>
      </c>
      <c r="F190" s="23" t="n">
        <v>-138</v>
      </c>
      <c r="G190" s="22" t="inlineStr">
        <is>
          <t>$M</t>
        </is>
      </c>
    </row>
    <row r="191" ht="18" customHeight="1">
      <c r="B191" s="55" t="inlineStr">
        <is>
          <t>FY2021</t>
        </is>
      </c>
      <c r="C191" s="20" t="inlineStr">
        <is>
          <t>Segment Operating Income</t>
        </is>
      </c>
      <c r="D191" s="20" t="inlineStr">
        <is>
          <t>Gaming</t>
        </is>
      </c>
      <c r="E191" s="20" t="inlineStr">
        <is>
          <t>Operating Income</t>
        </is>
      </c>
      <c r="F191" s="21" t="n">
        <v>934</v>
      </c>
      <c r="G191" s="20" t="inlineStr">
        <is>
          <t>$M</t>
        </is>
      </c>
    </row>
    <row r="192" ht="18" customHeight="1">
      <c r="B192" s="57" t="inlineStr">
        <is>
          <t>FY2022</t>
        </is>
      </c>
      <c r="C192" s="22" t="inlineStr">
        <is>
          <t>Segment Operating Income</t>
        </is>
      </c>
      <c r="D192" s="22" t="inlineStr">
        <is>
          <t>Gaming</t>
        </is>
      </c>
      <c r="E192" s="22" t="inlineStr">
        <is>
          <t>Operating Income</t>
        </is>
      </c>
      <c r="F192" s="23" t="n">
        <v>953</v>
      </c>
      <c r="G192" s="22" t="inlineStr">
        <is>
          <t>$M</t>
        </is>
      </c>
    </row>
    <row r="193" ht="18" customHeight="1">
      <c r="B193" s="55" t="inlineStr">
        <is>
          <t>FY2023</t>
        </is>
      </c>
      <c r="C193" s="20" t="inlineStr">
        <is>
          <t>Segment Operating Income</t>
        </is>
      </c>
      <c r="D193" s="20" t="inlineStr">
        <is>
          <t>Gaming</t>
        </is>
      </c>
      <c r="E193" s="20" t="inlineStr">
        <is>
          <t>Operating Income</t>
        </is>
      </c>
      <c r="F193" s="21" t="n">
        <v>971</v>
      </c>
      <c r="G193" s="20" t="inlineStr">
        <is>
          <t>$M</t>
        </is>
      </c>
    </row>
    <row r="194" ht="18" customHeight="1">
      <c r="B194" s="57" t="inlineStr">
        <is>
          <t>FY2024</t>
        </is>
      </c>
      <c r="C194" s="22" t="inlineStr">
        <is>
          <t>Segment Operating Income</t>
        </is>
      </c>
      <c r="D194" s="22" t="inlineStr">
        <is>
          <t>Gaming</t>
        </is>
      </c>
      <c r="E194" s="22" t="inlineStr">
        <is>
          <t>Operating Income</t>
        </is>
      </c>
      <c r="F194" s="23" t="n">
        <v>290</v>
      </c>
      <c r="G194" s="22" t="inlineStr">
        <is>
          <t>$M</t>
        </is>
      </c>
    </row>
    <row r="195" ht="18" customHeight="1">
      <c r="B195" s="55" t="inlineStr">
        <is>
          <t>FY2020</t>
        </is>
      </c>
      <c r="C195" s="20" t="inlineStr">
        <is>
          <t>Segment Operating Income</t>
        </is>
      </c>
      <c r="D195" s="20" t="inlineStr">
        <is>
          <t>Embedded</t>
        </is>
      </c>
      <c r="E195" s="20" t="inlineStr">
        <is>
          <t>Operating Income</t>
        </is>
      </c>
      <c r="F195" s="21" t="n">
        <v>-11</v>
      </c>
      <c r="G195" s="20" t="inlineStr">
        <is>
          <t>$M</t>
        </is>
      </c>
    </row>
    <row r="196" ht="18" customHeight="1">
      <c r="B196" s="57" t="inlineStr">
        <is>
          <t>FY2021</t>
        </is>
      </c>
      <c r="C196" s="22" t="inlineStr">
        <is>
          <t>Segment Operating Income</t>
        </is>
      </c>
      <c r="D196" s="22" t="inlineStr">
        <is>
          <t>Embedded</t>
        </is>
      </c>
      <c r="E196" s="22" t="inlineStr">
        <is>
          <t>Operating Income</t>
        </is>
      </c>
      <c r="F196" s="23" t="n">
        <v>44</v>
      </c>
      <c r="G196" s="22" t="inlineStr">
        <is>
          <t>$M</t>
        </is>
      </c>
    </row>
    <row r="197" ht="18" customHeight="1">
      <c r="B197" s="55" t="inlineStr">
        <is>
          <t>FY2022</t>
        </is>
      </c>
      <c r="C197" s="20" t="inlineStr">
        <is>
          <t>Segment Operating Income</t>
        </is>
      </c>
      <c r="D197" s="20" t="inlineStr">
        <is>
          <t>Embedded</t>
        </is>
      </c>
      <c r="E197" s="20" t="inlineStr">
        <is>
          <t>Operating Income</t>
        </is>
      </c>
      <c r="F197" s="21" t="n">
        <v>2252</v>
      </c>
      <c r="G197" s="20" t="inlineStr">
        <is>
          <t>$M</t>
        </is>
      </c>
    </row>
    <row r="198" ht="18" customHeight="1">
      <c r="B198" s="57" t="inlineStr">
        <is>
          <t>FY2023</t>
        </is>
      </c>
      <c r="C198" s="22" t="inlineStr">
        <is>
          <t>Segment Operating Income</t>
        </is>
      </c>
      <c r="D198" s="22" t="inlineStr">
        <is>
          <t>Embedded</t>
        </is>
      </c>
      <c r="E198" s="22" t="inlineStr">
        <is>
          <t>Operating Income</t>
        </is>
      </c>
      <c r="F198" s="23" t="n">
        <v>2628</v>
      </c>
      <c r="G198" s="22" t="inlineStr">
        <is>
          <t>$M</t>
        </is>
      </c>
    </row>
    <row r="199" ht="18" customHeight="1">
      <c r="B199" s="55" t="inlineStr">
        <is>
          <t>FY2024</t>
        </is>
      </c>
      <c r="C199" s="20" t="inlineStr">
        <is>
          <t>Segment Operating Income</t>
        </is>
      </c>
      <c r="D199" s="20" t="inlineStr">
        <is>
          <t>Embedded</t>
        </is>
      </c>
      <c r="E199" s="20" t="inlineStr">
        <is>
          <t>Operating Income</t>
        </is>
      </c>
      <c r="F199" s="21" t="n">
        <v>1421</v>
      </c>
      <c r="G199" s="20" t="inlineStr">
        <is>
          <t>$M</t>
        </is>
      </c>
    </row>
    <row r="200" ht="18" customHeight="1">
      <c r="B200" s="57" t="inlineStr">
        <is>
          <t>FY2025</t>
        </is>
      </c>
      <c r="C200" s="22" t="inlineStr">
        <is>
          <t>Segment Operating Income</t>
        </is>
      </c>
      <c r="D200" s="22" t="inlineStr">
        <is>
          <t>Embedded</t>
        </is>
      </c>
      <c r="E200" s="22" t="inlineStr">
        <is>
          <t>Operating Income</t>
        </is>
      </c>
      <c r="F200" s="23" t="n">
        <v>1243</v>
      </c>
      <c r="G200" s="22" t="inlineStr">
        <is>
          <t>$M</t>
        </is>
      </c>
    </row>
    <row r="201" ht="18" customHeight="1">
      <c r="B201" s="55" t="inlineStr">
        <is>
          <t>FY2020</t>
        </is>
      </c>
      <c r="C201" s="20" t="inlineStr">
        <is>
          <t>Segment Operating Income</t>
        </is>
      </c>
      <c r="D201" s="20" t="inlineStr">
        <is>
          <t>Client and Gaming (combined)</t>
        </is>
      </c>
      <c r="E201" s="20" t="inlineStr">
        <is>
          <t>Operating Income</t>
        </is>
      </c>
      <c r="F201" s="21" t="n">
        <v>1470</v>
      </c>
      <c r="G201" s="20" t="inlineStr">
        <is>
          <t>$M</t>
        </is>
      </c>
    </row>
    <row r="202" ht="18" customHeight="1">
      <c r="B202" s="57" t="inlineStr">
        <is>
          <t>FY2021</t>
        </is>
      </c>
      <c r="C202" s="22" t="inlineStr">
        <is>
          <t>Segment Operating Income</t>
        </is>
      </c>
      <c r="D202" s="22" t="inlineStr">
        <is>
          <t>Client and Gaming (combined)</t>
        </is>
      </c>
      <c r="E202" s="22" t="inlineStr">
        <is>
          <t>Operating Income</t>
        </is>
      </c>
      <c r="F202" s="23" t="n">
        <v>3022</v>
      </c>
      <c r="G202" s="22" t="inlineStr">
        <is>
          <t>$M</t>
        </is>
      </c>
    </row>
    <row r="203" ht="18" customHeight="1">
      <c r="B203" s="55" t="inlineStr">
        <is>
          <t>FY2022</t>
        </is>
      </c>
      <c r="C203" s="20" t="inlineStr">
        <is>
          <t>Segment Operating Income</t>
        </is>
      </c>
      <c r="D203" s="20" t="inlineStr">
        <is>
          <t>Client and Gaming (combined)</t>
        </is>
      </c>
      <c r="E203" s="20" t="inlineStr">
        <is>
          <t>Operating Income</t>
        </is>
      </c>
      <c r="F203" s="21" t="n">
        <v>2143</v>
      </c>
      <c r="G203" s="20" t="inlineStr">
        <is>
          <t>$M</t>
        </is>
      </c>
    </row>
    <row r="204" ht="18" customHeight="1">
      <c r="B204" s="57" t="inlineStr">
        <is>
          <t>FY2023</t>
        </is>
      </c>
      <c r="C204" s="22" t="inlineStr">
        <is>
          <t>Segment Operating Income</t>
        </is>
      </c>
      <c r="D204" s="22" t="inlineStr">
        <is>
          <t>Client and Gaming (combined)</t>
        </is>
      </c>
      <c r="E204" s="22" t="inlineStr">
        <is>
          <t>Operating Income</t>
        </is>
      </c>
      <c r="F204" s="23" t="n">
        <v>925</v>
      </c>
      <c r="G204" s="22" t="inlineStr">
        <is>
          <t>$M</t>
        </is>
      </c>
    </row>
    <row r="205" ht="18" customHeight="1">
      <c r="B205" s="55" t="inlineStr">
        <is>
          <t>FY2024</t>
        </is>
      </c>
      <c r="C205" s="20" t="inlineStr">
        <is>
          <t>Segment Operating Income</t>
        </is>
      </c>
      <c r="D205" s="20" t="inlineStr">
        <is>
          <t>Client and Gaming (combined)</t>
        </is>
      </c>
      <c r="E205" s="20" t="inlineStr">
        <is>
          <t>Operating Income</t>
        </is>
      </c>
      <c r="F205" s="21" t="n">
        <v>1187</v>
      </c>
      <c r="G205" s="20" t="inlineStr">
        <is>
          <t>$M</t>
        </is>
      </c>
    </row>
    <row r="206" ht="18" customHeight="1">
      <c r="B206" s="57" t="inlineStr">
        <is>
          <t>FY2025</t>
        </is>
      </c>
      <c r="C206" s="22" t="inlineStr">
        <is>
          <t>Segment Operating Income</t>
        </is>
      </c>
      <c r="D206" s="22" t="inlineStr">
        <is>
          <t>Client and Gaming (combined)</t>
        </is>
      </c>
      <c r="E206" s="22" t="inlineStr">
        <is>
          <t>Operating Income</t>
        </is>
      </c>
      <c r="F206" s="23" t="n">
        <v>2855</v>
      </c>
      <c r="G206" s="22" t="inlineStr">
        <is>
          <t>$M</t>
        </is>
      </c>
    </row>
    <row r="207" ht="18" customHeight="1">
      <c r="B207" s="55" t="inlineStr">
        <is>
          <t>FY2020</t>
        </is>
      </c>
      <c r="C207" s="20" t="inlineStr">
        <is>
          <t>KPI</t>
        </is>
      </c>
      <c r="D207" s="20" t="inlineStr">
        <is>
          <t>Consolidated</t>
        </is>
      </c>
      <c r="E207" s="20" t="inlineStr">
        <is>
          <t>Gross margin</t>
        </is>
      </c>
      <c r="F207" s="27" t="n">
        <v>0.4452524838676636</v>
      </c>
      <c r="G207" s="20" t="inlineStr">
        <is>
          <t>%</t>
        </is>
      </c>
    </row>
    <row r="208" ht="18" customHeight="1">
      <c r="B208" s="57" t="inlineStr">
        <is>
          <t>FY2021</t>
        </is>
      </c>
      <c r="C208" s="22" t="inlineStr">
        <is>
          <t>KPI</t>
        </is>
      </c>
      <c r="D208" s="22" t="inlineStr">
        <is>
          <t>Consolidated</t>
        </is>
      </c>
      <c r="E208" s="22" t="inlineStr">
        <is>
          <t>Gross margin</t>
        </is>
      </c>
      <c r="F208" s="26" t="n">
        <v>0.4824753559693319</v>
      </c>
      <c r="G208" s="22" t="inlineStr">
        <is>
          <t>%</t>
        </is>
      </c>
    </row>
    <row r="209" ht="18" customHeight="1">
      <c r="B209" s="55" t="inlineStr">
        <is>
          <t>FY2022</t>
        </is>
      </c>
      <c r="C209" s="20" t="inlineStr">
        <is>
          <t>KPI</t>
        </is>
      </c>
      <c r="D209" s="20" t="inlineStr">
        <is>
          <t>Consolidated</t>
        </is>
      </c>
      <c r="E209" s="20" t="inlineStr">
        <is>
          <t>Gross margin</t>
        </is>
      </c>
      <c r="F209" s="27" t="n">
        <v>0.4492606245498072</v>
      </c>
      <c r="G209" s="20" t="inlineStr">
        <is>
          <t>%</t>
        </is>
      </c>
    </row>
    <row r="210" ht="18" customHeight="1">
      <c r="B210" s="57" t="inlineStr">
        <is>
          <t>FY2023</t>
        </is>
      </c>
      <c r="C210" s="22" t="inlineStr">
        <is>
          <t>KPI</t>
        </is>
      </c>
      <c r="D210" s="22" t="inlineStr">
        <is>
          <t>Consolidated</t>
        </is>
      </c>
      <c r="E210" s="22" t="inlineStr">
        <is>
          <t>Gross margin</t>
        </is>
      </c>
      <c r="F210" s="26" t="n">
        <v>0.4611992945326279</v>
      </c>
      <c r="G210" s="22" t="inlineStr">
        <is>
          <t>%</t>
        </is>
      </c>
    </row>
    <row r="211" ht="18" customHeight="1">
      <c r="B211" s="55" t="inlineStr">
        <is>
          <t>FY2024</t>
        </is>
      </c>
      <c r="C211" s="20" t="inlineStr">
        <is>
          <t>KPI</t>
        </is>
      </c>
      <c r="D211" s="20" t="inlineStr">
        <is>
          <t>Consolidated</t>
        </is>
      </c>
      <c r="E211" s="20" t="inlineStr">
        <is>
          <t>Gross margin</t>
        </is>
      </c>
      <c r="F211" s="27" t="n">
        <v>0.4935039751793678</v>
      </c>
      <c r="G211" s="20" t="inlineStr">
        <is>
          <t>%</t>
        </is>
      </c>
    </row>
    <row r="212" ht="18" customHeight="1">
      <c r="B212" s="57" t="inlineStr">
        <is>
          <t>FY2025</t>
        </is>
      </c>
      <c r="C212" s="22" t="inlineStr">
        <is>
          <t>KPI</t>
        </is>
      </c>
      <c r="D212" s="22" t="inlineStr">
        <is>
          <t>Consolidated</t>
        </is>
      </c>
      <c r="E212" s="22" t="inlineStr">
        <is>
          <t>Gross margin</t>
        </is>
      </c>
      <c r="F212" s="26" t="n">
        <v>0.4951644100580271</v>
      </c>
      <c r="G212" s="22" t="inlineStr">
        <is>
          <t>%</t>
        </is>
      </c>
    </row>
    <row r="213" ht="18" customHeight="1">
      <c r="B213" s="55" t="inlineStr">
        <is>
          <t>FY2020</t>
        </is>
      </c>
      <c r="C213" s="20" t="inlineStr">
        <is>
          <t>KPI</t>
        </is>
      </c>
      <c r="D213" s="20" t="inlineStr">
        <is>
          <t>Consolidated</t>
        </is>
      </c>
      <c r="E213" s="20" t="inlineStr">
        <is>
          <t>Operating margin</t>
        </is>
      </c>
      <c r="F213" s="27" t="n">
        <v>0.1402232920208952</v>
      </c>
      <c r="G213" s="20" t="inlineStr">
        <is>
          <t>%</t>
        </is>
      </c>
    </row>
    <row r="214" ht="18" customHeight="1">
      <c r="B214" s="57" t="inlineStr">
        <is>
          <t>FY2021</t>
        </is>
      </c>
      <c r="C214" s="22" t="inlineStr">
        <is>
          <t>KPI</t>
        </is>
      </c>
      <c r="D214" s="22" t="inlineStr">
        <is>
          <t>Consolidated</t>
        </is>
      </c>
      <c r="E214" s="22" t="inlineStr">
        <is>
          <t>Operating margin</t>
        </is>
      </c>
      <c r="F214" s="26" t="n">
        <v>0.2219788243884629</v>
      </c>
      <c r="G214" s="22" t="inlineStr">
        <is>
          <t>%</t>
        </is>
      </c>
    </row>
    <row r="215" ht="18" customHeight="1">
      <c r="B215" s="55" t="inlineStr">
        <is>
          <t>FY2022</t>
        </is>
      </c>
      <c r="C215" s="20" t="inlineStr">
        <is>
          <t>KPI</t>
        </is>
      </c>
      <c r="D215" s="20" t="inlineStr">
        <is>
          <t>Consolidated</t>
        </is>
      </c>
      <c r="E215" s="20" t="inlineStr">
        <is>
          <t>Operating margin</t>
        </is>
      </c>
      <c r="F215" s="27" t="n">
        <v>0.05355705266725986</v>
      </c>
      <c r="G215" s="20" t="inlineStr">
        <is>
          <t>%</t>
        </is>
      </c>
    </row>
    <row r="216" ht="18" customHeight="1">
      <c r="B216" s="57" t="inlineStr">
        <is>
          <t>FY2023</t>
        </is>
      </c>
      <c r="C216" s="22" t="inlineStr">
        <is>
          <t>KPI</t>
        </is>
      </c>
      <c r="D216" s="22" t="inlineStr">
        <is>
          <t>Consolidated</t>
        </is>
      </c>
      <c r="E216" s="22" t="inlineStr">
        <is>
          <t>Operating margin</t>
        </is>
      </c>
      <c r="F216" s="26" t="n">
        <v>0.01768077601410935</v>
      </c>
      <c r="G216" s="22" t="inlineStr">
        <is>
          <t>%</t>
        </is>
      </c>
    </row>
    <row r="217" ht="18" customHeight="1">
      <c r="B217" s="55" t="inlineStr">
        <is>
          <t>FY2024</t>
        </is>
      </c>
      <c r="C217" s="20" t="inlineStr">
        <is>
          <t>KPI</t>
        </is>
      </c>
      <c r="D217" s="20" t="inlineStr">
        <is>
          <t>Consolidated</t>
        </is>
      </c>
      <c r="E217" s="20" t="inlineStr">
        <is>
          <t>Operating margin</t>
        </is>
      </c>
      <c r="F217" s="27" t="n">
        <v>0.0736862516967229</v>
      </c>
      <c r="G217" s="20" t="inlineStr">
        <is>
          <t>%</t>
        </is>
      </c>
    </row>
    <row r="218" ht="18" customHeight="1">
      <c r="B218" s="57" t="inlineStr">
        <is>
          <t>FY2025</t>
        </is>
      </c>
      <c r="C218" s="22" t="inlineStr">
        <is>
          <t>KPI</t>
        </is>
      </c>
      <c r="D218" s="22" t="inlineStr">
        <is>
          <t>Consolidated</t>
        </is>
      </c>
      <c r="E218" s="22" t="inlineStr">
        <is>
          <t>Operating margin</t>
        </is>
      </c>
      <c r="F218" s="26" t="n">
        <v>0.106642801466555</v>
      </c>
      <c r="G218" s="22" t="inlineStr">
        <is>
          <t>%</t>
        </is>
      </c>
    </row>
    <row r="219" ht="18" customHeight="1">
      <c r="B219" s="55" t="inlineStr">
        <is>
          <t>FY2020</t>
        </is>
      </c>
      <c r="C219" s="20" t="inlineStr">
        <is>
          <t>KPI</t>
        </is>
      </c>
      <c r="D219" s="20" t="inlineStr">
        <is>
          <t>Consolidated</t>
        </is>
      </c>
      <c r="E219" s="20" t="inlineStr">
        <is>
          <t>Net profit margin</t>
        </is>
      </c>
      <c r="F219" s="27" t="n">
        <v>0.2550445559766465</v>
      </c>
      <c r="G219" s="20" t="inlineStr">
        <is>
          <t>%</t>
        </is>
      </c>
    </row>
    <row r="220" ht="18" customHeight="1">
      <c r="B220" s="57" t="inlineStr">
        <is>
          <t>FY2021</t>
        </is>
      </c>
      <c r="C220" s="22" t="inlineStr">
        <is>
          <t>KPI</t>
        </is>
      </c>
      <c r="D220" s="22" t="inlineStr">
        <is>
          <t>Consolidated</t>
        </is>
      </c>
      <c r="E220" s="22" t="inlineStr">
        <is>
          <t>Net profit margin</t>
        </is>
      </c>
      <c r="F220" s="26" t="n">
        <v>0.1924059875867105</v>
      </c>
      <c r="G220" s="22" t="inlineStr">
        <is>
          <t>%</t>
        </is>
      </c>
    </row>
    <row r="221" ht="18" customHeight="1">
      <c r="B221" s="55" t="inlineStr">
        <is>
          <t>FY2022</t>
        </is>
      </c>
      <c r="C221" s="20" t="inlineStr">
        <is>
          <t>KPI</t>
        </is>
      </c>
      <c r="D221" s="20" t="inlineStr">
        <is>
          <t>Consolidated</t>
        </is>
      </c>
      <c r="E221" s="20" t="inlineStr">
        <is>
          <t>Net profit margin</t>
        </is>
      </c>
      <c r="F221" s="27" t="n">
        <v>0.05592983348163214</v>
      </c>
      <c r="G221" s="20" t="inlineStr">
        <is>
          <t>%</t>
        </is>
      </c>
    </row>
    <row r="222" ht="18" customHeight="1">
      <c r="B222" s="57" t="inlineStr">
        <is>
          <t>FY2023</t>
        </is>
      </c>
      <c r="C222" s="22" t="inlineStr">
        <is>
          <t>KPI</t>
        </is>
      </c>
      <c r="D222" s="22" t="inlineStr">
        <is>
          <t>Consolidated</t>
        </is>
      </c>
      <c r="E222" s="22" t="inlineStr">
        <is>
          <t>Net profit margin</t>
        </is>
      </c>
      <c r="F222" s="26" t="n">
        <v>0.03765432098765432</v>
      </c>
      <c r="G222" s="22" t="inlineStr">
        <is>
          <t>%</t>
        </is>
      </c>
    </row>
    <row r="223" ht="18" customHeight="1">
      <c r="B223" s="55" t="inlineStr">
        <is>
          <t>FY2024</t>
        </is>
      </c>
      <c r="C223" s="20" t="inlineStr">
        <is>
          <t>KPI</t>
        </is>
      </c>
      <c r="D223" s="20" t="inlineStr">
        <is>
          <t>Consolidated</t>
        </is>
      </c>
      <c r="E223" s="20" t="inlineStr">
        <is>
          <t>Net profit margin</t>
        </is>
      </c>
      <c r="F223" s="27" t="n">
        <v>0.06364165212332752</v>
      </c>
      <c r="G223" s="20" t="inlineStr">
        <is>
          <t>%</t>
        </is>
      </c>
    </row>
    <row r="224" ht="18" customHeight="1">
      <c r="B224" s="57" t="inlineStr">
        <is>
          <t>FY2025</t>
        </is>
      </c>
      <c r="C224" s="22" t="inlineStr">
        <is>
          <t>KPI</t>
        </is>
      </c>
      <c r="D224" s="22" t="inlineStr">
        <is>
          <t>Consolidated</t>
        </is>
      </c>
      <c r="E224" s="22" t="inlineStr">
        <is>
          <t>Net profit margin</t>
        </is>
      </c>
      <c r="F224" s="26" t="n">
        <v>0.1251479546176275</v>
      </c>
      <c r="G224" s="22" t="inlineStr">
        <is>
          <t>%</t>
        </is>
      </c>
    </row>
    <row r="225" ht="18" customHeight="1">
      <c r="B225" s="55" t="inlineStr">
        <is>
          <t>FY2020</t>
        </is>
      </c>
      <c r="C225" s="20" t="inlineStr">
        <is>
          <t>KPI</t>
        </is>
      </c>
      <c r="D225" s="20" t="inlineStr">
        <is>
          <t>Consolidated</t>
        </is>
      </c>
      <c r="E225" s="20" t="inlineStr">
        <is>
          <t>Cash Conversion Cycle</t>
        </is>
      </c>
      <c r="F225" s="34" t="n">
        <v>139.9823771123031</v>
      </c>
      <c r="G225" s="20" t="inlineStr">
        <is>
          <t>days</t>
        </is>
      </c>
    </row>
    <row r="226" ht="18" customHeight="1">
      <c r="B226" s="57" t="inlineStr">
        <is>
          <t>FY2021</t>
        </is>
      </c>
      <c r="C226" s="22" t="inlineStr">
        <is>
          <t>KPI</t>
        </is>
      </c>
      <c r="D226" s="22" t="inlineStr">
        <is>
          <t>Consolidated</t>
        </is>
      </c>
      <c r="E226" s="22" t="inlineStr">
        <is>
          <t>Cash Conversion Cycle</t>
        </is>
      </c>
      <c r="F226" s="33" t="n">
        <v>87.30910237068201</v>
      </c>
      <c r="G226" s="22" t="inlineStr">
        <is>
          <t>days</t>
        </is>
      </c>
    </row>
    <row r="227" ht="18" customHeight="1">
      <c r="B227" s="55" t="inlineStr">
        <is>
          <t>FY2022</t>
        </is>
      </c>
      <c r="C227" s="20" t="inlineStr">
        <is>
          <t>KPI</t>
        </is>
      </c>
      <c r="D227" s="20" t="inlineStr">
        <is>
          <t>Consolidated</t>
        </is>
      </c>
      <c r="E227" s="20" t="inlineStr">
        <is>
          <t>Cash Conversion Cycle</t>
        </is>
      </c>
      <c r="F227" s="34" t="n">
        <v>104.197444748379</v>
      </c>
      <c r="G227" s="20" t="inlineStr">
        <is>
          <t>days</t>
        </is>
      </c>
    </row>
    <row r="228" ht="18" customHeight="1">
      <c r="B228" s="57" t="inlineStr">
        <is>
          <t>FY2023</t>
        </is>
      </c>
      <c r="C228" s="22" t="inlineStr">
        <is>
          <t>KPI</t>
        </is>
      </c>
      <c r="D228" s="22" t="inlineStr">
        <is>
          <t>Consolidated</t>
        </is>
      </c>
      <c r="E228" s="22" t="inlineStr">
        <is>
          <t>Cash Conversion Cycle</t>
        </is>
      </c>
      <c r="F228" s="33" t="n">
        <v>143.879591277113</v>
      </c>
      <c r="G228" s="22" t="inlineStr">
        <is>
          <t>days</t>
        </is>
      </c>
    </row>
    <row r="229" ht="18" customHeight="1">
      <c r="B229" s="55" t="inlineStr">
        <is>
          <t>FY2024</t>
        </is>
      </c>
      <c r="C229" s="20" t="inlineStr">
        <is>
          <t>KPI</t>
        </is>
      </c>
      <c r="D229" s="20" t="inlineStr">
        <is>
          <t>Consolidated</t>
        </is>
      </c>
      <c r="E229" s="20" t="inlineStr">
        <is>
          <t>Cash Conversion Cycle</t>
        </is>
      </c>
      <c r="F229" s="34" t="n">
        <v>200.4592808113497</v>
      </c>
      <c r="G229" s="20" t="inlineStr">
        <is>
          <t>days</t>
        </is>
      </c>
    </row>
    <row r="230" ht="18" customHeight="1">
      <c r="B230" s="57" t="inlineStr">
        <is>
          <t>FY2025</t>
        </is>
      </c>
      <c r="C230" s="22" t="inlineStr">
        <is>
          <t>KPI</t>
        </is>
      </c>
      <c r="D230" s="22" t="inlineStr">
        <is>
          <t>Consolidated</t>
        </is>
      </c>
      <c r="E230" s="22" t="inlineStr">
        <is>
          <t>Cash Conversion Cycle</t>
        </is>
      </c>
      <c r="F230" s="33" t="n">
        <v>177.2449452087405</v>
      </c>
      <c r="G230" s="22" t="inlineStr">
        <is>
          <t>days</t>
        </is>
      </c>
    </row>
    <row r="231" ht="18" customHeight="1">
      <c r="B231" s="55" t="inlineStr">
        <is>
          <t>FY2020</t>
        </is>
      </c>
      <c r="C231" s="20" t="inlineStr">
        <is>
          <t>KPI</t>
        </is>
      </c>
      <c r="D231" s="20" t="inlineStr">
        <is>
          <t>Consolidated</t>
        </is>
      </c>
      <c r="E231" s="20" t="inlineStr">
        <is>
          <t>ROE</t>
        </is>
      </c>
      <c r="F231" s="27" t="n">
        <v>0.4265890011992462</v>
      </c>
      <c r="G231" s="20" t="inlineStr">
        <is>
          <t>%</t>
        </is>
      </c>
    </row>
    <row r="232" ht="18" customHeight="1">
      <c r="B232" s="57" t="inlineStr">
        <is>
          <t>FY2021</t>
        </is>
      </c>
      <c r="C232" s="22" t="inlineStr">
        <is>
          <t>KPI</t>
        </is>
      </c>
      <c r="D232" s="22" t="inlineStr">
        <is>
          <t>Consolidated</t>
        </is>
      </c>
      <c r="E232" s="22" t="inlineStr">
        <is>
          <t>ROE</t>
        </is>
      </c>
      <c r="F232" s="26" t="n">
        <v>0.4217687074829932</v>
      </c>
      <c r="G232" s="22" t="inlineStr">
        <is>
          <t>%</t>
        </is>
      </c>
    </row>
    <row r="233" ht="18" customHeight="1">
      <c r="B233" s="55" t="inlineStr">
        <is>
          <t>FY2022</t>
        </is>
      </c>
      <c r="C233" s="20" t="inlineStr">
        <is>
          <t>KPI</t>
        </is>
      </c>
      <c r="D233" s="20" t="inlineStr">
        <is>
          <t>Consolidated</t>
        </is>
      </c>
      <c r="E233" s="20" t="inlineStr">
        <is>
          <t>ROE</t>
        </is>
      </c>
      <c r="F233" s="27" t="n">
        <v>0.02410958904109589</v>
      </c>
      <c r="G233" s="20" t="inlineStr">
        <is>
          <t>%</t>
        </is>
      </c>
    </row>
    <row r="234" ht="18" customHeight="1">
      <c r="B234" s="57" t="inlineStr">
        <is>
          <t>FY2023</t>
        </is>
      </c>
      <c r="C234" s="22" t="inlineStr">
        <is>
          <t>KPI</t>
        </is>
      </c>
      <c r="D234" s="22" t="inlineStr">
        <is>
          <t>Consolidated</t>
        </is>
      </c>
      <c r="E234" s="22" t="inlineStr">
        <is>
          <t>ROE</t>
        </is>
      </c>
      <c r="F234" s="26" t="n">
        <v>0.0152794675445502</v>
      </c>
      <c r="G234" s="22" t="inlineStr">
        <is>
          <t>%</t>
        </is>
      </c>
    </row>
    <row r="235" ht="18" customHeight="1">
      <c r="B235" s="55" t="inlineStr">
        <is>
          <t>FY2024</t>
        </is>
      </c>
      <c r="C235" s="20" t="inlineStr">
        <is>
          <t>KPI</t>
        </is>
      </c>
      <c r="D235" s="20" t="inlineStr">
        <is>
          <t>Consolidated</t>
        </is>
      </c>
      <c r="E235" s="20" t="inlineStr">
        <is>
          <t>ROE</t>
        </is>
      </c>
      <c r="F235" s="27" t="n">
        <v>0.02850541967759867</v>
      </c>
      <c r="G235" s="20" t="inlineStr">
        <is>
          <t>%</t>
        </is>
      </c>
    </row>
    <row r="236" ht="18" customHeight="1">
      <c r="B236" s="57" t="inlineStr">
        <is>
          <t>FY2025</t>
        </is>
      </c>
      <c r="C236" s="22" t="inlineStr">
        <is>
          <t>KPI</t>
        </is>
      </c>
      <c r="D236" s="22" t="inlineStr">
        <is>
          <t>Consolidated</t>
        </is>
      </c>
      <c r="E236" s="22" t="inlineStr">
        <is>
          <t>ROE</t>
        </is>
      </c>
      <c r="F236" s="26" t="n">
        <v>0.06881061604152447</v>
      </c>
      <c r="G236" s="22" t="inlineStr">
        <is>
          <t>%</t>
        </is>
      </c>
    </row>
    <row r="237" ht="18" customHeight="1">
      <c r="B237" s="55" t="inlineStr">
        <is>
          <t>FY2020</t>
        </is>
      </c>
      <c r="C237" s="20" t="inlineStr">
        <is>
          <t>KPI</t>
        </is>
      </c>
      <c r="D237" s="20" t="inlineStr">
        <is>
          <t>Consolidated</t>
        </is>
      </c>
      <c r="E237" s="20" t="inlineStr">
        <is>
          <t>ROA</t>
        </is>
      </c>
      <c r="F237" s="27" t="n">
        <v>0.2778397679089489</v>
      </c>
      <c r="G237" s="20" t="inlineStr">
        <is>
          <t>%</t>
        </is>
      </c>
    </row>
    <row r="238" ht="18" customHeight="1">
      <c r="B238" s="57" t="inlineStr">
        <is>
          <t>FY2021</t>
        </is>
      </c>
      <c r="C238" s="22" t="inlineStr">
        <is>
          <t>KPI</t>
        </is>
      </c>
      <c r="D238" s="22" t="inlineStr">
        <is>
          <t>Consolidated</t>
        </is>
      </c>
      <c r="E238" s="22" t="inlineStr">
        <is>
          <t>ROA</t>
        </is>
      </c>
      <c r="F238" s="26" t="n">
        <v>0.254609871970368</v>
      </c>
      <c r="G238" s="22" t="inlineStr">
        <is>
          <t>%</t>
        </is>
      </c>
    </row>
    <row r="239" ht="18" customHeight="1">
      <c r="B239" s="55" t="inlineStr">
        <is>
          <t>FY2022</t>
        </is>
      </c>
      <c r="C239" s="20" t="inlineStr">
        <is>
          <t>KPI</t>
        </is>
      </c>
      <c r="D239" s="20" t="inlineStr">
        <is>
          <t>Consolidated</t>
        </is>
      </c>
      <c r="E239" s="20" t="inlineStr">
        <is>
          <t>ROA</t>
        </is>
      </c>
      <c r="F239" s="27" t="n">
        <v>0.01953240603728914</v>
      </c>
      <c r="G239" s="20" t="inlineStr">
        <is>
          <t>%</t>
        </is>
      </c>
    </row>
    <row r="240" ht="18" customHeight="1">
      <c r="B240" s="57" t="inlineStr">
        <is>
          <t>FY2023</t>
        </is>
      </c>
      <c r="C240" s="22" t="inlineStr">
        <is>
          <t>KPI</t>
        </is>
      </c>
      <c r="D240" s="22" t="inlineStr">
        <is>
          <t>Consolidated</t>
        </is>
      </c>
      <c r="E240" s="22" t="inlineStr">
        <is>
          <t>ROA</t>
        </is>
      </c>
      <c r="F240" s="26" t="n">
        <v>0.01258009869632467</v>
      </c>
      <c r="G240" s="22" t="inlineStr">
        <is>
          <t>%</t>
        </is>
      </c>
    </row>
    <row r="241" ht="18" customHeight="1">
      <c r="B241" s="55" t="inlineStr">
        <is>
          <t>FY2024</t>
        </is>
      </c>
      <c r="C241" s="20" t="inlineStr">
        <is>
          <t>KPI</t>
        </is>
      </c>
      <c r="D241" s="20" t="inlineStr">
        <is>
          <t>Consolidated</t>
        </is>
      </c>
      <c r="E241" s="20" t="inlineStr">
        <is>
          <t>ROA</t>
        </is>
      </c>
      <c r="F241" s="27" t="n">
        <v>0.02370496634212579</v>
      </c>
      <c r="G241" s="20" t="inlineStr">
        <is>
          <t>%</t>
        </is>
      </c>
    </row>
    <row r="242" ht="18" customHeight="1">
      <c r="B242" s="57" t="inlineStr">
        <is>
          <t>FY2025</t>
        </is>
      </c>
      <c r="C242" s="22" t="inlineStr">
        <is>
          <t>KPI</t>
        </is>
      </c>
      <c r="D242" s="22" t="inlineStr">
        <is>
          <t>Consolidated</t>
        </is>
      </c>
      <c r="E242" s="22" t="inlineStr">
        <is>
          <t>ROA</t>
        </is>
      </c>
      <c r="F242" s="26" t="n">
        <v>0.05635285859137353</v>
      </c>
      <c r="G242" s="22" t="inlineStr">
        <is>
          <t>%</t>
        </is>
      </c>
    </row>
    <row r="243" ht="18" customHeight="1">
      <c r="B243" s="55" t="inlineStr">
        <is>
          <t>FY2020</t>
        </is>
      </c>
      <c r="C243" s="20" t="inlineStr">
        <is>
          <t>KPI</t>
        </is>
      </c>
      <c r="D243" s="20" t="inlineStr">
        <is>
          <t>Consolidated</t>
        </is>
      </c>
      <c r="E243" s="20" t="inlineStr">
        <is>
          <t>ROIC</t>
        </is>
      </c>
      <c r="F243" s="27" t="n">
        <v>0.2860175393345371</v>
      </c>
      <c r="G243" s="20" t="inlineStr">
        <is>
          <t>%</t>
        </is>
      </c>
    </row>
    <row r="244" ht="18" customHeight="1">
      <c r="B244" s="57" t="inlineStr">
        <is>
          <t>FY2021</t>
        </is>
      </c>
      <c r="C244" s="22" t="inlineStr">
        <is>
          <t>KPI</t>
        </is>
      </c>
      <c r="D244" s="22" t="inlineStr">
        <is>
          <t>Consolidated</t>
        </is>
      </c>
      <c r="E244" s="22" t="inlineStr">
        <is>
          <t>ROIC</t>
        </is>
      </c>
      <c r="F244" s="26" t="n">
        <v>0.7032079961922895</v>
      </c>
      <c r="G244" s="22" t="inlineStr">
        <is>
          <t>%</t>
        </is>
      </c>
    </row>
    <row r="245" ht="18" customHeight="1">
      <c r="B245" s="55" t="inlineStr">
        <is>
          <t>FY2022</t>
        </is>
      </c>
      <c r="C245" s="20" t="inlineStr">
        <is>
          <t>KPI</t>
        </is>
      </c>
      <c r="D245" s="20" t="inlineStr">
        <is>
          <t>Consolidated</t>
        </is>
      </c>
      <c r="E245" s="20" t="inlineStr">
        <is>
          <t>ROIC</t>
        </is>
      </c>
      <c r="F245" s="27" t="n">
        <v>0.01993380320080994</v>
      </c>
      <c r="G245" s="20" t="inlineStr">
        <is>
          <t>%</t>
        </is>
      </c>
    </row>
    <row r="246" ht="18" customHeight="1">
      <c r="B246" s="57" t="inlineStr">
        <is>
          <t>FY2023</t>
        </is>
      </c>
      <c r="C246" s="22" t="inlineStr">
        <is>
          <t>KPI</t>
        </is>
      </c>
      <c r="D246" s="22" t="inlineStr">
        <is>
          <t>Consolidated</t>
        </is>
      </c>
      <c r="E246" s="22" t="inlineStr">
        <is>
          <t>ROIC</t>
        </is>
      </c>
      <c r="F246" s="26" t="n">
        <v>0.006176621598493925</v>
      </c>
      <c r="G246" s="22" t="inlineStr">
        <is>
          <t>%</t>
        </is>
      </c>
    </row>
    <row r="247" ht="18" customHeight="1">
      <c r="B247" s="55" t="inlineStr">
        <is>
          <t>FY2024</t>
        </is>
      </c>
      <c r="C247" s="20" t="inlineStr">
        <is>
          <t>KPI</t>
        </is>
      </c>
      <c r="D247" s="20" t="inlineStr">
        <is>
          <t>Consolidated</t>
        </is>
      </c>
      <c r="E247" s="20" t="inlineStr">
        <is>
          <t>ROIC</t>
        </is>
      </c>
      <c r="F247" s="27" t="n">
        <v>0.02841737910150119</v>
      </c>
      <c r="G247" s="20" t="inlineStr">
        <is>
          <t>%</t>
        </is>
      </c>
    </row>
    <row r="248" ht="18" customHeight="1">
      <c r="B248" s="57" t="inlineStr">
        <is>
          <t>FY2025</t>
        </is>
      </c>
      <c r="C248" s="22" t="inlineStr">
        <is>
          <t>KPI</t>
        </is>
      </c>
      <c r="D248" s="22" t="inlineStr">
        <is>
          <t>Consolidated</t>
        </is>
      </c>
      <c r="E248" s="22" t="inlineStr">
        <is>
          <t>ROIC</t>
        </is>
      </c>
      <c r="F248" s="26" t="n">
        <v>0.05374876502182544</v>
      </c>
      <c r="G248" s="22" t="inlineStr">
        <is>
          <t>%</t>
        </is>
      </c>
    </row>
    <row r="249" ht="18" customHeight="1">
      <c r="B249" s="55" t="inlineStr">
        <is>
          <t>FY2020</t>
        </is>
      </c>
      <c r="C249" s="20" t="inlineStr">
        <is>
          <t>KPI</t>
        </is>
      </c>
      <c r="D249" s="20" t="inlineStr">
        <is>
          <t>Consolidated</t>
        </is>
      </c>
      <c r="E249" s="20" t="inlineStr">
        <is>
          <t>Current ratio</t>
        </is>
      </c>
      <c r="F249" s="35" t="n">
        <v>2.541580471659081</v>
      </c>
      <c r="G249" s="20" t="inlineStr">
        <is>
          <t>x</t>
        </is>
      </c>
    </row>
    <row r="250" ht="18" customHeight="1">
      <c r="B250" s="57" t="inlineStr">
        <is>
          <t>FY2021</t>
        </is>
      </c>
      <c r="C250" s="22" t="inlineStr">
        <is>
          <t>KPI</t>
        </is>
      </c>
      <c r="D250" s="22" t="inlineStr">
        <is>
          <t>Consolidated</t>
        </is>
      </c>
      <c r="E250" s="22" t="inlineStr">
        <is>
          <t>Current ratio</t>
        </is>
      </c>
      <c r="F250" s="32" t="n">
        <v>2.024292452830189</v>
      </c>
      <c r="G250" s="22" t="inlineStr">
        <is>
          <t>x</t>
        </is>
      </c>
    </row>
    <row r="251" ht="18" customHeight="1">
      <c r="B251" s="55" t="inlineStr">
        <is>
          <t>FY2022</t>
        </is>
      </c>
      <c r="C251" s="20" t="inlineStr">
        <is>
          <t>KPI</t>
        </is>
      </c>
      <c r="D251" s="20" t="inlineStr">
        <is>
          <t>Consolidated</t>
        </is>
      </c>
      <c r="E251" s="20" t="inlineStr">
        <is>
          <t>Current ratio</t>
        </is>
      </c>
      <c r="F251" s="35" t="n">
        <v>2.358140995446695</v>
      </c>
      <c r="G251" s="20" t="inlineStr">
        <is>
          <t>x</t>
        </is>
      </c>
    </row>
    <row r="252" ht="18" customHeight="1">
      <c r="B252" s="57" t="inlineStr">
        <is>
          <t>FY2023</t>
        </is>
      </c>
      <c r="C252" s="22" t="inlineStr">
        <is>
          <t>KPI</t>
        </is>
      </c>
      <c r="D252" s="22" t="inlineStr">
        <is>
          <t>Consolidated</t>
        </is>
      </c>
      <c r="E252" s="22" t="inlineStr">
        <is>
          <t>Current ratio</t>
        </is>
      </c>
      <c r="F252" s="32" t="n">
        <v>2.506802212587831</v>
      </c>
      <c r="G252" s="22" t="inlineStr">
        <is>
          <t>x</t>
        </is>
      </c>
    </row>
    <row r="253" ht="18" customHeight="1">
      <c r="B253" s="55" t="inlineStr">
        <is>
          <t>FY2024</t>
        </is>
      </c>
      <c r="C253" s="20" t="inlineStr">
        <is>
          <t>KPI</t>
        </is>
      </c>
      <c r="D253" s="20" t="inlineStr">
        <is>
          <t>Consolidated</t>
        </is>
      </c>
      <c r="E253" s="20" t="inlineStr">
        <is>
          <t>Current ratio</t>
        </is>
      </c>
      <c r="F253" s="35" t="n">
        <v>2.61626150254086</v>
      </c>
      <c r="G253" s="20" t="inlineStr">
        <is>
          <t>x</t>
        </is>
      </c>
    </row>
    <row r="254" ht="18" customHeight="1">
      <c r="B254" s="57" t="inlineStr">
        <is>
          <t>FY2025</t>
        </is>
      </c>
      <c r="C254" s="22" t="inlineStr">
        <is>
          <t>KPI</t>
        </is>
      </c>
      <c r="D254" s="22" t="inlineStr">
        <is>
          <t>Consolidated</t>
        </is>
      </c>
      <c r="E254" s="22" t="inlineStr">
        <is>
          <t>Current ratio</t>
        </is>
      </c>
      <c r="F254" s="32" t="n">
        <v>2.850026441036489</v>
      </c>
      <c r="G254" s="22" t="inlineStr">
        <is>
          <t>x</t>
        </is>
      </c>
    </row>
    <row r="255" ht="18" customHeight="1">
      <c r="B255" s="55" t="inlineStr">
        <is>
          <t>FY2020</t>
        </is>
      </c>
      <c r="C255" s="20" t="inlineStr">
        <is>
          <t>KPI</t>
        </is>
      </c>
      <c r="D255" s="20" t="inlineStr">
        <is>
          <t>Consolidated</t>
        </is>
      </c>
      <c r="E255" s="20" t="inlineStr">
        <is>
          <t>Debt-to-Equity</t>
        </is>
      </c>
      <c r="F255" s="35" t="n">
        <v>0.0565358917252013</v>
      </c>
      <c r="G255" s="20" t="inlineStr">
        <is>
          <t>x</t>
        </is>
      </c>
    </row>
    <row r="256" ht="18" customHeight="1">
      <c r="B256" s="57" t="inlineStr">
        <is>
          <t>FY2021</t>
        </is>
      </c>
      <c r="C256" s="22" t="inlineStr">
        <is>
          <t>KPI</t>
        </is>
      </c>
      <c r="D256" s="22" t="inlineStr">
        <is>
          <t>Consolidated</t>
        </is>
      </c>
      <c r="E256" s="22" t="inlineStr">
        <is>
          <t>Debt-to-Equity</t>
        </is>
      </c>
      <c r="F256" s="32" t="n">
        <v>0.041750033346672</v>
      </c>
      <c r="G256" s="22" t="inlineStr">
        <is>
          <t>x</t>
        </is>
      </c>
    </row>
    <row r="257" ht="18" customHeight="1">
      <c r="B257" s="55" t="inlineStr">
        <is>
          <t>FY2022</t>
        </is>
      </c>
      <c r="C257" s="20" t="inlineStr">
        <is>
          <t>KPI</t>
        </is>
      </c>
      <c r="D257" s="20" t="inlineStr">
        <is>
          <t>Consolidated</t>
        </is>
      </c>
      <c r="E257" s="20" t="inlineStr">
        <is>
          <t>Debt-to-Equity</t>
        </is>
      </c>
      <c r="F257" s="35" t="n">
        <v>0.04505936073059361</v>
      </c>
      <c r="G257" s="20" t="inlineStr">
        <is>
          <t>x</t>
        </is>
      </c>
    </row>
    <row r="258" ht="18" customHeight="1">
      <c r="B258" s="57" t="inlineStr">
        <is>
          <t>FY2023</t>
        </is>
      </c>
      <c r="C258" s="22" t="inlineStr">
        <is>
          <t>KPI</t>
        </is>
      </c>
      <c r="D258" s="22" t="inlineStr">
        <is>
          <t>Consolidated</t>
        </is>
      </c>
      <c r="E258" s="22" t="inlineStr">
        <is>
          <t>Debt-to-Equity</t>
        </is>
      </c>
      <c r="F258" s="32" t="n">
        <v>0.04415658770485937</v>
      </c>
      <c r="G258" s="22" t="inlineStr">
        <is>
          <t>x</t>
        </is>
      </c>
    </row>
    <row r="259" ht="18" customHeight="1">
      <c r="B259" s="55" t="inlineStr">
        <is>
          <t>FY2024</t>
        </is>
      </c>
      <c r="C259" s="20" t="inlineStr">
        <is>
          <t>KPI</t>
        </is>
      </c>
      <c r="D259" s="20" t="inlineStr">
        <is>
          <t>Consolidated</t>
        </is>
      </c>
      <c r="E259" s="20" t="inlineStr">
        <is>
          <t>Debt-to-Equity</t>
        </is>
      </c>
      <c r="F259" s="35" t="n">
        <v>0.02989508060033352</v>
      </c>
      <c r="G259" s="20" t="inlineStr">
        <is>
          <t>x</t>
        </is>
      </c>
    </row>
    <row r="260" ht="18" customHeight="1">
      <c r="B260" s="57" t="inlineStr">
        <is>
          <t>FY2025</t>
        </is>
      </c>
      <c r="C260" s="22" t="inlineStr">
        <is>
          <t>KPI</t>
        </is>
      </c>
      <c r="D260" s="22" t="inlineStr">
        <is>
          <t>Consolidated</t>
        </is>
      </c>
      <c r="E260" s="22" t="inlineStr">
        <is>
          <t>Debt-to-Equity</t>
        </is>
      </c>
      <c r="F260" s="32" t="n">
        <v>0.05114366894712614</v>
      </c>
      <c r="G260" s="22" t="inlineStr">
        <is>
          <t>x</t>
        </is>
      </c>
    </row>
    <row r="261" ht="18" customHeight="1">
      <c r="B261" s="55" t="inlineStr">
        <is>
          <t>FY2020</t>
        </is>
      </c>
      <c r="C261" s="20" t="inlineStr">
        <is>
          <t>KPI</t>
        </is>
      </c>
      <c r="D261" s="20" t="inlineStr">
        <is>
          <t>Consolidated</t>
        </is>
      </c>
      <c r="E261" s="20" t="inlineStr">
        <is>
          <t>EPS diluted</t>
        </is>
      </c>
      <c r="F261" s="28" t="n">
        <v>2.06</v>
      </c>
      <c r="G261" s="20" t="inlineStr">
        <is>
          <t>$</t>
        </is>
      </c>
    </row>
    <row r="262" ht="18" customHeight="1">
      <c r="B262" s="57" t="inlineStr">
        <is>
          <t>FY2021</t>
        </is>
      </c>
      <c r="C262" s="22" t="inlineStr">
        <is>
          <t>KPI</t>
        </is>
      </c>
      <c r="D262" s="22" t="inlineStr">
        <is>
          <t>Consolidated</t>
        </is>
      </c>
      <c r="E262" s="22" t="inlineStr">
        <is>
          <t>EPS diluted</t>
        </is>
      </c>
      <c r="F262" s="29" t="n">
        <v>2.57</v>
      </c>
      <c r="G262" s="22" t="inlineStr">
        <is>
          <t>$</t>
        </is>
      </c>
    </row>
    <row r="263" ht="18" customHeight="1">
      <c r="B263" s="55" t="inlineStr">
        <is>
          <t>FY2022</t>
        </is>
      </c>
      <c r="C263" s="20" t="inlineStr">
        <is>
          <t>KPI</t>
        </is>
      </c>
      <c r="D263" s="20" t="inlineStr">
        <is>
          <t>Consolidated</t>
        </is>
      </c>
      <c r="E263" s="20" t="inlineStr">
        <is>
          <t>EPS diluted</t>
        </is>
      </c>
      <c r="F263" s="28" t="n">
        <v>0.84</v>
      </c>
      <c r="G263" s="20" t="inlineStr">
        <is>
          <t>$</t>
        </is>
      </c>
    </row>
    <row r="264" ht="18" customHeight="1">
      <c r="B264" s="57" t="inlineStr">
        <is>
          <t>FY2023</t>
        </is>
      </c>
      <c r="C264" s="22" t="inlineStr">
        <is>
          <t>KPI</t>
        </is>
      </c>
      <c r="D264" s="22" t="inlineStr">
        <is>
          <t>Consolidated</t>
        </is>
      </c>
      <c r="E264" s="22" t="inlineStr">
        <is>
          <t>EPS diluted</t>
        </is>
      </c>
      <c r="F264" s="29" t="n">
        <v>0.53</v>
      </c>
      <c r="G264" s="22" t="inlineStr">
        <is>
          <t>$</t>
        </is>
      </c>
    </row>
    <row r="265" ht="18" customHeight="1">
      <c r="B265" s="55" t="inlineStr">
        <is>
          <t>FY2024</t>
        </is>
      </c>
      <c r="C265" s="20" t="inlineStr">
        <is>
          <t>KPI</t>
        </is>
      </c>
      <c r="D265" s="20" t="inlineStr">
        <is>
          <t>Consolidated</t>
        </is>
      </c>
      <c r="E265" s="20" t="inlineStr">
        <is>
          <t>EPS diluted</t>
        </is>
      </c>
      <c r="F265" s="28" t="n">
        <v>1</v>
      </c>
      <c r="G265" s="20" t="inlineStr">
        <is>
          <t>$</t>
        </is>
      </c>
    </row>
    <row r="266" ht="18" customHeight="1">
      <c r="B266" s="57" t="inlineStr">
        <is>
          <t>FY2025</t>
        </is>
      </c>
      <c r="C266" s="22" t="inlineStr">
        <is>
          <t>KPI</t>
        </is>
      </c>
      <c r="D266" s="22" t="inlineStr">
        <is>
          <t>Consolidated</t>
        </is>
      </c>
      <c r="E266" s="22" t="inlineStr">
        <is>
          <t>EPS diluted</t>
        </is>
      </c>
      <c r="F266" s="29" t="n">
        <v>2.65</v>
      </c>
      <c r="G266" s="22" t="inlineStr">
        <is>
          <t>$</t>
        </is>
      </c>
    </row>
    <row r="267" ht="18" customHeight="1">
      <c r="B267" s="55" t="inlineStr">
        <is>
          <t>FY2020</t>
        </is>
      </c>
      <c r="C267" s="20" t="inlineStr">
        <is>
          <t>KPI</t>
        </is>
      </c>
      <c r="D267" s="20" t="inlineStr">
        <is>
          <t>Consolidated</t>
        </is>
      </c>
      <c r="E267" s="20" t="inlineStr">
        <is>
          <t>Book value per share</t>
        </is>
      </c>
      <c r="F267" s="28" t="n">
        <v>4.835956917978459</v>
      </c>
      <c r="G267" s="20" t="inlineStr">
        <is>
          <t>$</t>
        </is>
      </c>
    </row>
    <row r="268" ht="18" customHeight="1">
      <c r="B268" s="57" t="inlineStr">
        <is>
          <t>FY2021</t>
        </is>
      </c>
      <c r="C268" s="22" t="inlineStr">
        <is>
          <t>KPI</t>
        </is>
      </c>
      <c r="D268" s="22" t="inlineStr">
        <is>
          <t>Consolidated</t>
        </is>
      </c>
      <c r="E268" s="22" t="inlineStr">
        <is>
          <t>Book value per share</t>
        </is>
      </c>
      <c r="F268" s="29" t="n">
        <v>6.100081366965012</v>
      </c>
      <c r="G268" s="22" t="inlineStr">
        <is>
          <t>$</t>
        </is>
      </c>
    </row>
    <row r="269" ht="18" customHeight="1">
      <c r="B269" s="55" t="inlineStr">
        <is>
          <t>FY2022</t>
        </is>
      </c>
      <c r="C269" s="20" t="inlineStr">
        <is>
          <t>KPI</t>
        </is>
      </c>
      <c r="D269" s="20" t="inlineStr">
        <is>
          <t>Consolidated</t>
        </is>
      </c>
      <c r="E269" s="20" t="inlineStr">
        <is>
          <t>Book value per share</t>
        </is>
      </c>
      <c r="F269" s="28" t="n">
        <v>34.85041374920433</v>
      </c>
      <c r="G269" s="20" t="inlineStr">
        <is>
          <t>$</t>
        </is>
      </c>
    </row>
    <row r="270" ht="18" customHeight="1">
      <c r="B270" s="57" t="inlineStr">
        <is>
          <t>FY2023</t>
        </is>
      </c>
      <c r="C270" s="22" t="inlineStr">
        <is>
          <t>KPI</t>
        </is>
      </c>
      <c r="D270" s="22" t="inlineStr">
        <is>
          <t>Consolidated</t>
        </is>
      </c>
      <c r="E270" s="22" t="inlineStr">
        <is>
          <t>Book value per share</t>
        </is>
      </c>
      <c r="F270" s="29" t="n">
        <v>34.39507692307692</v>
      </c>
      <c r="G270" s="22" t="inlineStr">
        <is>
          <t>$</t>
        </is>
      </c>
    </row>
    <row r="271" ht="18" customHeight="1">
      <c r="B271" s="55" t="inlineStr">
        <is>
          <t>FY2024</t>
        </is>
      </c>
      <c r="C271" s="20" t="inlineStr">
        <is>
          <t>KPI</t>
        </is>
      </c>
      <c r="D271" s="20" t="inlineStr">
        <is>
          <t>Consolidated</t>
        </is>
      </c>
      <c r="E271" s="20" t="inlineStr">
        <is>
          <t>Book value per share</t>
        </is>
      </c>
      <c r="F271" s="28" t="n">
        <v>35.16676847892487</v>
      </c>
      <c r="G271" s="20" t="inlineStr">
        <is>
          <t>$</t>
        </is>
      </c>
    </row>
    <row r="272" ht="18" customHeight="1">
      <c r="B272" s="57" t="inlineStr">
        <is>
          <t>FY2025</t>
        </is>
      </c>
      <c r="C272" s="22" t="inlineStr">
        <is>
          <t>KPI</t>
        </is>
      </c>
      <c r="D272" s="22" t="inlineStr">
        <is>
          <t>Consolidated</t>
        </is>
      </c>
      <c r="E272" s="22" t="inlineStr">
        <is>
          <t>Book value per share</t>
        </is>
      </c>
      <c r="F272" s="29" t="n">
        <v>38.50794621026895</v>
      </c>
      <c r="G272" s="22" t="inlineStr">
        <is>
          <t>$</t>
        </is>
      </c>
    </row>
    <row r="273" ht="18" customHeight="1">
      <c r="B273" s="55" t="inlineStr">
        <is>
          <t>FY2020</t>
        </is>
      </c>
      <c r="C273" s="20" t="inlineStr">
        <is>
          <t>KPI</t>
        </is>
      </c>
      <c r="D273" s="20" t="inlineStr">
        <is>
          <t>Consolidated</t>
        </is>
      </c>
      <c r="E273" s="20" t="inlineStr">
        <is>
          <t>FCF per share</t>
        </is>
      </c>
      <c r="F273" s="28" t="n">
        <v>0.6437448218724109</v>
      </c>
      <c r="G273" s="20" t="inlineStr">
        <is>
          <t>$</t>
        </is>
      </c>
    </row>
    <row r="274" ht="18" customHeight="1">
      <c r="B274" s="57" t="inlineStr">
        <is>
          <t>FY2021</t>
        </is>
      </c>
      <c r="C274" s="22" t="inlineStr">
        <is>
          <t>KPI</t>
        </is>
      </c>
      <c r="D274" s="22" t="inlineStr">
        <is>
          <t>Consolidated</t>
        </is>
      </c>
      <c r="E274" s="22" t="inlineStr">
        <is>
          <t>FCF per share</t>
        </is>
      </c>
      <c r="F274" s="29" t="n">
        <v>2.620016273393003</v>
      </c>
      <c r="G274" s="22" t="inlineStr">
        <is>
          <t>$</t>
        </is>
      </c>
    </row>
    <row r="275" ht="18" customHeight="1">
      <c r="B275" s="55" t="inlineStr">
        <is>
          <t>FY2022</t>
        </is>
      </c>
      <c r="C275" s="20" t="inlineStr">
        <is>
          <t>KPI</t>
        </is>
      </c>
      <c r="D275" s="20" t="inlineStr">
        <is>
          <t>Consolidated</t>
        </is>
      </c>
      <c r="E275" s="20" t="inlineStr">
        <is>
          <t>FCF per share</t>
        </is>
      </c>
      <c r="F275" s="28" t="n">
        <v>1.982813494589434</v>
      </c>
      <c r="G275" s="20" t="inlineStr">
        <is>
          <t>$</t>
        </is>
      </c>
    </row>
    <row r="276" ht="18" customHeight="1">
      <c r="B276" s="57" t="inlineStr">
        <is>
          <t>FY2023</t>
        </is>
      </c>
      <c r="C276" s="22" t="inlineStr">
        <is>
          <t>KPI</t>
        </is>
      </c>
      <c r="D276" s="22" t="inlineStr">
        <is>
          <t>Consolidated</t>
        </is>
      </c>
      <c r="E276" s="22" t="inlineStr">
        <is>
          <t>FCF per share</t>
        </is>
      </c>
      <c r="F276" s="29" t="n">
        <v>0.6898461538461539</v>
      </c>
      <c r="G276" s="22" t="inlineStr">
        <is>
          <t>$</t>
        </is>
      </c>
    </row>
    <row r="277" ht="18" customHeight="1">
      <c r="B277" s="55" t="inlineStr">
        <is>
          <t>FY2024</t>
        </is>
      </c>
      <c r="C277" s="20" t="inlineStr">
        <is>
          <t>KPI</t>
        </is>
      </c>
      <c r="D277" s="20" t="inlineStr">
        <is>
          <t>Consolidated</t>
        </is>
      </c>
      <c r="E277" s="20" t="inlineStr">
        <is>
          <t>FCF per share</t>
        </is>
      </c>
      <c r="F277" s="28" t="n">
        <v>1.469150885766646</v>
      </c>
      <c r="G277" s="20" t="inlineStr">
        <is>
          <t>$</t>
        </is>
      </c>
    </row>
    <row r="278" ht="18" customHeight="1">
      <c r="B278" s="57" t="inlineStr">
        <is>
          <t>FY2025</t>
        </is>
      </c>
      <c r="C278" s="22" t="inlineStr">
        <is>
          <t>KPI</t>
        </is>
      </c>
      <c r="D278" s="22" t="inlineStr">
        <is>
          <t>Consolidated</t>
        </is>
      </c>
      <c r="E278" s="22" t="inlineStr">
        <is>
          <t>FCF per share</t>
        </is>
      </c>
      <c r="F278" s="29" t="n">
        <v>4.093520782396088</v>
      </c>
      <c r="G278" s="22" t="inlineStr">
        <is>
          <t>$</t>
        </is>
      </c>
    </row>
    <row r="279" ht="18" customHeight="1">
      <c r="B279" s="55" t="inlineStr">
        <is>
          <t>FY2020</t>
        </is>
      </c>
      <c r="C279" s="20" t="inlineStr">
        <is>
          <t>KPI</t>
        </is>
      </c>
      <c r="D279" s="20" t="inlineStr">
        <is>
          <t>Consolidated</t>
        </is>
      </c>
      <c r="E279" s="20" t="inlineStr">
        <is>
          <t>Revenue YoY growth</t>
        </is>
      </c>
      <c r="F279" s="27" t="n"/>
      <c r="G279" s="20" t="inlineStr">
        <is>
          <t>%</t>
        </is>
      </c>
    </row>
    <row r="280" ht="18" customHeight="1">
      <c r="B280" s="57" t="inlineStr">
        <is>
          <t>FY2021</t>
        </is>
      </c>
      <c r="C280" s="22" t="inlineStr">
        <is>
          <t>KPI</t>
        </is>
      </c>
      <c r="D280" s="22" t="inlineStr">
        <is>
          <t>Consolidated</t>
        </is>
      </c>
      <c r="E280" s="22" t="inlineStr">
        <is>
          <t>Revenue YoY growth</t>
        </is>
      </c>
      <c r="F280" s="26" t="n">
        <v>0.683294069445867</v>
      </c>
      <c r="G280" s="22" t="inlineStr">
        <is>
          <t>%</t>
        </is>
      </c>
    </row>
    <row r="281" ht="18" customHeight="1">
      <c r="B281" s="55" t="inlineStr">
        <is>
          <t>FY2022</t>
        </is>
      </c>
      <c r="C281" s="20" t="inlineStr">
        <is>
          <t>KPI</t>
        </is>
      </c>
      <c r="D281" s="20" t="inlineStr">
        <is>
          <t>Consolidated</t>
        </is>
      </c>
      <c r="E281" s="20" t="inlineStr">
        <is>
          <t>Revenue YoY growth</t>
        </is>
      </c>
      <c r="F281" s="27" t="n">
        <v>0.4361080686381891</v>
      </c>
      <c r="G281" s="20" t="inlineStr">
        <is>
          <t>%</t>
        </is>
      </c>
    </row>
    <row r="282" ht="18" customHeight="1">
      <c r="B282" s="57" t="inlineStr">
        <is>
          <t>FY2023</t>
        </is>
      </c>
      <c r="C282" s="22" t="inlineStr">
        <is>
          <t>KPI</t>
        </is>
      </c>
      <c r="D282" s="22" t="inlineStr">
        <is>
          <t>Consolidated</t>
        </is>
      </c>
      <c r="E282" s="22" t="inlineStr">
        <is>
          <t>Revenue YoY growth</t>
        </is>
      </c>
      <c r="F282" s="26" t="n">
        <v>-0.03902377017922969</v>
      </c>
      <c r="G282" s="22" t="inlineStr">
        <is>
          <t>%</t>
        </is>
      </c>
    </row>
    <row r="283" ht="18" customHeight="1">
      <c r="B283" s="55" t="inlineStr">
        <is>
          <t>FY2024</t>
        </is>
      </c>
      <c r="C283" s="20" t="inlineStr">
        <is>
          <t>KPI</t>
        </is>
      </c>
      <c r="D283" s="20" t="inlineStr">
        <is>
          <t>Consolidated</t>
        </is>
      </c>
      <c r="E283" s="20" t="inlineStr">
        <is>
          <t>Revenue YoY growth</t>
        </is>
      </c>
      <c r="F283" s="27" t="n">
        <v>0.1369047619047619</v>
      </c>
      <c r="G283" s="20" t="inlineStr">
        <is>
          <t>%</t>
        </is>
      </c>
    </row>
    <row r="284" ht="18" customHeight="1">
      <c r="B284" s="57" t="inlineStr">
        <is>
          <t>FY2025</t>
        </is>
      </c>
      <c r="C284" s="22" t="inlineStr">
        <is>
          <t>KPI</t>
        </is>
      </c>
      <c r="D284" s="22" t="inlineStr">
        <is>
          <t>Consolidated</t>
        </is>
      </c>
      <c r="E284" s="22" t="inlineStr">
        <is>
          <t>Revenue YoY growth</t>
        </is>
      </c>
      <c r="F284" s="26" t="n">
        <v>0.3433779329067287</v>
      </c>
      <c r="G284" s="22" t="inlineStr">
        <is>
          <t>%</t>
        </is>
      </c>
    </row>
    <row r="285" ht="18" customHeight="1">
      <c r="B285" s="55" t="inlineStr">
        <is>
          <t>FY2020</t>
        </is>
      </c>
      <c r="C285" s="20" t="inlineStr">
        <is>
          <t>KPI</t>
        </is>
      </c>
      <c r="D285" s="20" t="inlineStr">
        <is>
          <t>Consolidated</t>
        </is>
      </c>
      <c r="E285" s="20" t="inlineStr">
        <is>
          <t>Net income YoY growth</t>
        </is>
      </c>
      <c r="F285" s="27" t="n"/>
      <c r="G285" s="20" t="inlineStr">
        <is>
          <t>%</t>
        </is>
      </c>
    </row>
    <row r="286" ht="18" customHeight="1">
      <c r="B286" s="57" t="inlineStr">
        <is>
          <t>FY2021</t>
        </is>
      </c>
      <c r="C286" s="22" t="inlineStr">
        <is>
          <t>KPI</t>
        </is>
      </c>
      <c r="D286" s="22" t="inlineStr">
        <is>
          <t>Consolidated</t>
        </is>
      </c>
      <c r="E286" s="22" t="inlineStr">
        <is>
          <t>Net income YoY growth</t>
        </is>
      </c>
      <c r="F286" s="26" t="n">
        <v>0.2698795180722892</v>
      </c>
      <c r="G286" s="22" t="inlineStr">
        <is>
          <t>%</t>
        </is>
      </c>
    </row>
    <row r="287" ht="18" customHeight="1">
      <c r="B287" s="55" t="inlineStr">
        <is>
          <t>FY2022</t>
        </is>
      </c>
      <c r="C287" s="20" t="inlineStr">
        <is>
          <t>KPI</t>
        </is>
      </c>
      <c r="D287" s="20" t="inlineStr">
        <is>
          <t>Consolidated</t>
        </is>
      </c>
      <c r="E287" s="20" t="inlineStr">
        <is>
          <t>Net income YoY growth</t>
        </is>
      </c>
      <c r="F287" s="27" t="n">
        <v>-0.5825426944971537</v>
      </c>
      <c r="G287" s="20" t="inlineStr">
        <is>
          <t>%</t>
        </is>
      </c>
    </row>
    <row r="288" ht="18" customHeight="1">
      <c r="B288" s="57" t="inlineStr">
        <is>
          <t>FY2023</t>
        </is>
      </c>
      <c r="C288" s="22" t="inlineStr">
        <is>
          <t>KPI</t>
        </is>
      </c>
      <c r="D288" s="22" t="inlineStr">
        <is>
          <t>Consolidated</t>
        </is>
      </c>
      <c r="E288" s="22" t="inlineStr">
        <is>
          <t>Net income YoY growth</t>
        </is>
      </c>
      <c r="F288" s="26" t="n">
        <v>-0.353030303030303</v>
      </c>
      <c r="G288" s="22" t="inlineStr">
        <is>
          <t>%</t>
        </is>
      </c>
    </row>
    <row r="289" ht="18" customHeight="1">
      <c r="B289" s="55" t="inlineStr">
        <is>
          <t>FY2024</t>
        </is>
      </c>
      <c r="C289" s="20" t="inlineStr">
        <is>
          <t>KPI</t>
        </is>
      </c>
      <c r="D289" s="20" t="inlineStr">
        <is>
          <t>Consolidated</t>
        </is>
      </c>
      <c r="E289" s="20" t="inlineStr">
        <is>
          <t>Net income YoY growth</t>
        </is>
      </c>
      <c r="F289" s="27" t="n">
        <v>0.9215456674473068</v>
      </c>
      <c r="G289" s="20" t="inlineStr">
        <is>
          <t>%</t>
        </is>
      </c>
    </row>
    <row r="290" ht="18" customHeight="1">
      <c r="B290" s="57" t="inlineStr">
        <is>
          <t>FY2025</t>
        </is>
      </c>
      <c r="C290" s="22" t="inlineStr">
        <is>
          <t>KPI</t>
        </is>
      </c>
      <c r="D290" s="22" t="inlineStr">
        <is>
          <t>Consolidated</t>
        </is>
      </c>
      <c r="E290" s="22" t="inlineStr">
        <is>
          <t>Net income YoY growth</t>
        </is>
      </c>
      <c r="F290" s="26" t="n">
        <v>1.641681901279707</v>
      </c>
      <c r="G290" s="22" t="inlineStr">
        <is>
          <t>%</t>
        </is>
      </c>
    </row>
    <row r="291" ht="18" customHeight="1">
      <c r="B291" s="55" t="inlineStr">
        <is>
          <t>FY2020</t>
        </is>
      </c>
      <c r="C291" s="20" t="inlineStr">
        <is>
          <t>KPI</t>
        </is>
      </c>
      <c r="D291" s="20" t="inlineStr">
        <is>
          <t>Consolidated</t>
        </is>
      </c>
      <c r="E291" s="20" t="inlineStr">
        <is>
          <t>FCF margin</t>
        </is>
      </c>
      <c r="F291" s="27" t="n">
        <v>0.0795861927686162</v>
      </c>
      <c r="G291" s="20" t="inlineStr">
        <is>
          <t>%</t>
        </is>
      </c>
    </row>
    <row r="292" ht="18" customHeight="1">
      <c r="B292" s="57" t="inlineStr">
        <is>
          <t>FY2021</t>
        </is>
      </c>
      <c r="C292" s="22" t="inlineStr">
        <is>
          <t>KPI</t>
        </is>
      </c>
      <c r="D292" s="22" t="inlineStr">
        <is>
          <t>Consolidated</t>
        </is>
      </c>
      <c r="E292" s="22" t="inlineStr">
        <is>
          <t>FCF margin</t>
        </is>
      </c>
      <c r="F292" s="26" t="n">
        <v>0.19593525617622</v>
      </c>
      <c r="G292" s="22" t="inlineStr">
        <is>
          <t>%</t>
        </is>
      </c>
    </row>
    <row r="293" ht="18" customHeight="1">
      <c r="B293" s="55" t="inlineStr">
        <is>
          <t>FY2022</t>
        </is>
      </c>
      <c r="C293" s="20" t="inlineStr">
        <is>
          <t>KPI</t>
        </is>
      </c>
      <c r="D293" s="20" t="inlineStr">
        <is>
          <t>Consolidated</t>
        </is>
      </c>
      <c r="E293" s="20" t="inlineStr">
        <is>
          <t>FCF margin</t>
        </is>
      </c>
      <c r="F293" s="27" t="n">
        <v>0.1319859327994576</v>
      </c>
      <c r="G293" s="20" t="inlineStr">
        <is>
          <t>%</t>
        </is>
      </c>
    </row>
    <row r="294" ht="18" customHeight="1">
      <c r="B294" s="57" t="inlineStr">
        <is>
          <t>FY2023</t>
        </is>
      </c>
      <c r="C294" s="22" t="inlineStr">
        <is>
          <t>KPI</t>
        </is>
      </c>
      <c r="D294" s="22" t="inlineStr">
        <is>
          <t>Consolidated</t>
        </is>
      </c>
      <c r="E294" s="22" t="inlineStr">
        <is>
          <t>FCF margin</t>
        </is>
      </c>
      <c r="F294" s="26" t="n">
        <v>0.04942680776014109</v>
      </c>
      <c r="G294" s="22" t="inlineStr">
        <is>
          <t>%</t>
        </is>
      </c>
    </row>
    <row r="295" ht="18" customHeight="1">
      <c r="B295" s="55" t="inlineStr">
        <is>
          <t>FY2024</t>
        </is>
      </c>
      <c r="C295" s="20" t="inlineStr">
        <is>
          <t>KPI</t>
        </is>
      </c>
      <c r="D295" s="20" t="inlineStr">
        <is>
          <t>Consolidated</t>
        </is>
      </c>
      <c r="E295" s="20" t="inlineStr">
        <is>
          <t>FCF margin</t>
        </is>
      </c>
      <c r="F295" s="27" t="n">
        <v>0.09327128175295715</v>
      </c>
      <c r="G295" s="20" t="inlineStr">
        <is>
          <t>%</t>
        </is>
      </c>
    </row>
    <row r="296" ht="18" customHeight="1">
      <c r="B296" s="57" t="inlineStr">
        <is>
          <t>FY2025</t>
        </is>
      </c>
      <c r="C296" s="22" t="inlineStr">
        <is>
          <t>KPI</t>
        </is>
      </c>
      <c r="D296" s="22" t="inlineStr">
        <is>
          <t>Consolidated</t>
        </is>
      </c>
      <c r="E296" s="22" t="inlineStr">
        <is>
          <t>FCF margin</t>
        </is>
      </c>
      <c r="F296" s="26" t="n">
        <v>0.1933369900978666</v>
      </c>
      <c r="G296" s="22" t="inlineStr">
        <is>
          <t>%</t>
        </is>
      </c>
    </row>
    <row r="297" ht="18" customHeight="1">
      <c r="B297" s="55" t="inlineStr">
        <is>
          <t>FY2020</t>
        </is>
      </c>
      <c r="C297" s="20" t="inlineStr">
        <is>
          <t>KPI</t>
        </is>
      </c>
      <c r="D297" s="20" t="inlineStr">
        <is>
          <t>Consolidated</t>
        </is>
      </c>
      <c r="E297" s="20" t="inlineStr">
        <is>
          <t>FCF conversion</t>
        </is>
      </c>
      <c r="F297" s="35" t="n">
        <v>0.3120481927710844</v>
      </c>
      <c r="G297" s="20" t="inlineStr">
        <is>
          <t>x</t>
        </is>
      </c>
    </row>
    <row r="298" ht="18" customHeight="1">
      <c r="B298" s="57" t="inlineStr">
        <is>
          <t>FY2021</t>
        </is>
      </c>
      <c r="C298" s="22" t="inlineStr">
        <is>
          <t>KPI</t>
        </is>
      </c>
      <c r="D298" s="22" t="inlineStr">
        <is>
          <t>Consolidated</t>
        </is>
      </c>
      <c r="E298" s="22" t="inlineStr">
        <is>
          <t>FCF conversion</t>
        </is>
      </c>
      <c r="F298" s="32" t="n">
        <v>1.018342820999367</v>
      </c>
      <c r="G298" s="22" t="inlineStr">
        <is>
          <t>x</t>
        </is>
      </c>
    </row>
    <row r="299" ht="18" customHeight="1">
      <c r="B299" s="55" t="inlineStr">
        <is>
          <t>FY2022</t>
        </is>
      </c>
      <c r="C299" s="20" t="inlineStr">
        <is>
          <t>KPI</t>
        </is>
      </c>
      <c r="D299" s="20" t="inlineStr">
        <is>
          <t>Consolidated</t>
        </is>
      </c>
      <c r="E299" s="20" t="inlineStr">
        <is>
          <t>FCF conversion</t>
        </is>
      </c>
      <c r="F299" s="35" t="n">
        <v>2.359848484848485</v>
      </c>
      <c r="G299" s="20" t="inlineStr">
        <is>
          <t>x</t>
        </is>
      </c>
    </row>
    <row r="300" ht="18" customHeight="1">
      <c r="B300" s="57" t="inlineStr">
        <is>
          <t>FY2023</t>
        </is>
      </c>
      <c r="C300" s="22" t="inlineStr">
        <is>
          <t>KPI</t>
        </is>
      </c>
      <c r="D300" s="22" t="inlineStr">
        <is>
          <t>Consolidated</t>
        </is>
      </c>
      <c r="E300" s="22" t="inlineStr">
        <is>
          <t>FCF conversion</t>
        </is>
      </c>
      <c r="F300" s="32" t="n">
        <v>1.312646370023419</v>
      </c>
      <c r="G300" s="22" t="inlineStr">
        <is>
          <t>x</t>
        </is>
      </c>
    </row>
    <row r="301" ht="18" customHeight="1">
      <c r="B301" s="55" t="inlineStr">
        <is>
          <t>FY2024</t>
        </is>
      </c>
      <c r="C301" s="20" t="inlineStr">
        <is>
          <t>KPI</t>
        </is>
      </c>
      <c r="D301" s="20" t="inlineStr">
        <is>
          <t>Consolidated</t>
        </is>
      </c>
      <c r="E301" s="20" t="inlineStr">
        <is>
          <t>FCF conversion</t>
        </is>
      </c>
      <c r="F301" s="35" t="n">
        <v>1.465569774527727</v>
      </c>
      <c r="G301" s="20" t="inlineStr">
        <is>
          <t>x</t>
        </is>
      </c>
    </row>
    <row r="302" ht="18" customHeight="1">
      <c r="B302" s="57" t="inlineStr">
        <is>
          <t>FY2025</t>
        </is>
      </c>
      <c r="C302" s="22" t="inlineStr">
        <is>
          <t>KPI</t>
        </is>
      </c>
      <c r="D302" s="22" t="inlineStr">
        <is>
          <t>Consolidated</t>
        </is>
      </c>
      <c r="E302" s="22" t="inlineStr">
        <is>
          <t>FCF conversion</t>
        </is>
      </c>
      <c r="F302" s="32" t="n">
        <v>1.544867358708189</v>
      </c>
      <c r="G302" s="22" t="inlineStr">
        <is>
          <t>x</t>
        </is>
      </c>
    </row>
    <row r="303" ht="18" customHeight="1">
      <c r="B303" s="55" t="inlineStr">
        <is>
          <t>FY2020</t>
        </is>
      </c>
      <c r="C303" s="20" t="inlineStr">
        <is>
          <t>Geographic Revenue</t>
        </is>
      </c>
      <c r="D303" s="20" t="inlineStr">
        <is>
          <t>United States</t>
        </is>
      </c>
      <c r="E303" s="20" t="inlineStr">
        <is>
          <t>Revenue</t>
        </is>
      </c>
      <c r="F303" s="21" t="n">
        <v>2294</v>
      </c>
      <c r="G303" s="20" t="inlineStr">
        <is>
          <t>$M</t>
        </is>
      </c>
    </row>
    <row r="304" ht="18" customHeight="1">
      <c r="B304" s="57" t="inlineStr">
        <is>
          <t>FY2021</t>
        </is>
      </c>
      <c r="C304" s="22" t="inlineStr">
        <is>
          <t>Geographic Revenue</t>
        </is>
      </c>
      <c r="D304" s="22" t="inlineStr">
        <is>
          <t>United States</t>
        </is>
      </c>
      <c r="E304" s="22" t="inlineStr">
        <is>
          <t>Revenue</t>
        </is>
      </c>
      <c r="F304" s="23" t="n">
        <v>4656</v>
      </c>
      <c r="G304" s="22" t="inlineStr">
        <is>
          <t>$M</t>
        </is>
      </c>
    </row>
    <row r="305" ht="18" customHeight="1">
      <c r="B305" s="55" t="inlineStr">
        <is>
          <t>FY2022</t>
        </is>
      </c>
      <c r="C305" s="20" t="inlineStr">
        <is>
          <t>Geographic Revenue</t>
        </is>
      </c>
      <c r="D305" s="20" t="inlineStr">
        <is>
          <t>United States</t>
        </is>
      </c>
      <c r="E305" s="20" t="inlineStr">
        <is>
          <t>Revenue</t>
        </is>
      </c>
      <c r="F305" s="21" t="n">
        <v>8049</v>
      </c>
      <c r="G305" s="20" t="inlineStr">
        <is>
          <t>$M</t>
        </is>
      </c>
    </row>
    <row r="306" ht="18" customHeight="1">
      <c r="B306" s="57" t="inlineStr">
        <is>
          <t>FY2020</t>
        </is>
      </c>
      <c r="C306" s="22" t="inlineStr">
        <is>
          <t>Geographic Revenue</t>
        </is>
      </c>
      <c r="D306" s="22" t="inlineStr">
        <is>
          <t>China (incl. Hong Kong)</t>
        </is>
      </c>
      <c r="E306" s="22" t="inlineStr">
        <is>
          <t>Revenue</t>
        </is>
      </c>
      <c r="F306" s="23" t="n">
        <v>2329</v>
      </c>
      <c r="G306" s="22" t="inlineStr">
        <is>
          <t>$M</t>
        </is>
      </c>
    </row>
    <row r="307" ht="18" customHeight="1">
      <c r="B307" s="55" t="inlineStr">
        <is>
          <t>FY2021</t>
        </is>
      </c>
      <c r="C307" s="20" t="inlineStr">
        <is>
          <t>Geographic Revenue</t>
        </is>
      </c>
      <c r="D307" s="20" t="inlineStr">
        <is>
          <t>China (incl. Hong Kong)</t>
        </is>
      </c>
      <c r="E307" s="20" t="inlineStr">
        <is>
          <t>Revenue</t>
        </is>
      </c>
      <c r="F307" s="21" t="n">
        <v>4096</v>
      </c>
      <c r="G307" s="20" t="inlineStr">
        <is>
          <t>$M</t>
        </is>
      </c>
    </row>
    <row r="308" ht="18" customHeight="1">
      <c r="B308" s="57" t="inlineStr">
        <is>
          <t>FY2022</t>
        </is>
      </c>
      <c r="C308" s="22" t="inlineStr">
        <is>
          <t>Geographic Revenue</t>
        </is>
      </c>
      <c r="D308" s="22" t="inlineStr">
        <is>
          <t>China (incl. Hong Kong)</t>
        </is>
      </c>
      <c r="E308" s="22" t="inlineStr">
        <is>
          <t>Revenue</t>
        </is>
      </c>
      <c r="F308" s="23" t="n">
        <v>5207</v>
      </c>
      <c r="G308" s="22" t="inlineStr">
        <is>
          <t>$M</t>
        </is>
      </c>
    </row>
    <row r="309" ht="18" customHeight="1">
      <c r="B309" s="55" t="inlineStr">
        <is>
          <t>FY2020</t>
        </is>
      </c>
      <c r="C309" s="20" t="inlineStr">
        <is>
          <t>Geographic Revenue</t>
        </is>
      </c>
      <c r="D309" s="20" t="inlineStr">
        <is>
          <t>Taiwan</t>
        </is>
      </c>
      <c r="E309" s="20" t="inlineStr">
        <is>
          <t>Revenue</t>
        </is>
      </c>
      <c r="F309" s="21" t="n">
        <v>1187</v>
      </c>
      <c r="G309" s="20" t="inlineStr">
        <is>
          <t>$M</t>
        </is>
      </c>
    </row>
    <row r="310" ht="18" customHeight="1">
      <c r="B310" s="57" t="inlineStr">
        <is>
          <t>FY2021</t>
        </is>
      </c>
      <c r="C310" s="22" t="inlineStr">
        <is>
          <t>Geographic Revenue</t>
        </is>
      </c>
      <c r="D310" s="22" t="inlineStr">
        <is>
          <t>Taiwan</t>
        </is>
      </c>
      <c r="E310" s="22" t="inlineStr">
        <is>
          <t>Revenue</t>
        </is>
      </c>
      <c r="F310" s="23" t="n">
        <v>2091</v>
      </c>
      <c r="G310" s="22" t="inlineStr">
        <is>
          <t>$M</t>
        </is>
      </c>
    </row>
    <row r="311" ht="18" customHeight="1">
      <c r="B311" s="55" t="inlineStr">
        <is>
          <t>FY2022</t>
        </is>
      </c>
      <c r="C311" s="20" t="inlineStr">
        <is>
          <t>Geographic Revenue</t>
        </is>
      </c>
      <c r="D311" s="20" t="inlineStr">
        <is>
          <t>Taiwan</t>
        </is>
      </c>
      <c r="E311" s="20" t="inlineStr">
        <is>
          <t>Revenue</t>
        </is>
      </c>
      <c r="F311" s="21" t="n">
        <v>2369</v>
      </c>
      <c r="G311" s="20" t="inlineStr">
        <is>
          <t>$M</t>
        </is>
      </c>
    </row>
    <row r="312" ht="18" customHeight="1">
      <c r="B312" s="57" t="inlineStr">
        <is>
          <t>FY2020</t>
        </is>
      </c>
      <c r="C312" s="22" t="inlineStr">
        <is>
          <t>Geographic Revenue</t>
        </is>
      </c>
      <c r="D312" s="22" t="inlineStr">
        <is>
          <t>Japan</t>
        </is>
      </c>
      <c r="E312" s="22" t="inlineStr">
        <is>
          <t>Revenue</t>
        </is>
      </c>
      <c r="F312" s="23" t="n">
        <v>1033</v>
      </c>
      <c r="G312" s="22" t="inlineStr">
        <is>
          <t>$M</t>
        </is>
      </c>
    </row>
    <row r="313" ht="18" customHeight="1">
      <c r="B313" s="55" t="inlineStr">
        <is>
          <t>FY2021</t>
        </is>
      </c>
      <c r="C313" s="20" t="inlineStr">
        <is>
          <t>Geographic Revenue</t>
        </is>
      </c>
      <c r="D313" s="20" t="inlineStr">
        <is>
          <t>Japan</t>
        </is>
      </c>
      <c r="E313" s="20" t="inlineStr">
        <is>
          <t>Revenue</t>
        </is>
      </c>
      <c r="F313" s="21" t="n">
        <v>2381</v>
      </c>
      <c r="G313" s="20" t="inlineStr">
        <is>
          <t>$M</t>
        </is>
      </c>
    </row>
    <row r="314" ht="18" customHeight="1">
      <c r="B314" s="57" t="inlineStr">
        <is>
          <t>FY2022</t>
        </is>
      </c>
      <c r="C314" s="22" t="inlineStr">
        <is>
          <t>Geographic Revenue</t>
        </is>
      </c>
      <c r="D314" s="22" t="inlineStr">
        <is>
          <t>Japan</t>
        </is>
      </c>
      <c r="E314" s="22" t="inlineStr">
        <is>
          <t>Revenue</t>
        </is>
      </c>
      <c r="F314" s="23" t="n">
        <v>4177</v>
      </c>
      <c r="G314" s="22" t="inlineStr">
        <is>
          <t>$M</t>
        </is>
      </c>
    </row>
    <row r="315" ht="18" customHeight="1">
      <c r="B315" s="55" t="inlineStr">
        <is>
          <t>FY2020</t>
        </is>
      </c>
      <c r="C315" s="20" t="inlineStr">
        <is>
          <t>Geographic Revenue</t>
        </is>
      </c>
      <c r="D315" s="20" t="inlineStr">
        <is>
          <t>Singapore</t>
        </is>
      </c>
      <c r="E315" s="20" t="inlineStr">
        <is>
          <t>Revenue</t>
        </is>
      </c>
      <c r="F315" s="21" t="n">
        <v>1096</v>
      </c>
      <c r="G315" s="20" t="inlineStr">
        <is>
          <t>$M</t>
        </is>
      </c>
    </row>
    <row r="316" ht="18" customHeight="1">
      <c r="B316" s="57" t="inlineStr">
        <is>
          <t>FY2021</t>
        </is>
      </c>
      <c r="C316" s="22" t="inlineStr">
        <is>
          <t>Geographic Revenue</t>
        </is>
      </c>
      <c r="D316" s="22" t="inlineStr">
        <is>
          <t>Singapore</t>
        </is>
      </c>
      <c r="E316" s="22" t="inlineStr">
        <is>
          <t>Revenue</t>
        </is>
      </c>
      <c r="F316" s="23" t="n">
        <v>1389</v>
      </c>
      <c r="G316" s="22" t="inlineStr">
        <is>
          <t>$M</t>
        </is>
      </c>
    </row>
    <row r="317" ht="18" customHeight="1">
      <c r="B317" s="55" t="inlineStr">
        <is>
          <t>FY2022</t>
        </is>
      </c>
      <c r="C317" s="20" t="inlineStr">
        <is>
          <t>Geographic Revenue</t>
        </is>
      </c>
      <c r="D317" s="20" t="inlineStr">
        <is>
          <t>Singapore</t>
        </is>
      </c>
      <c r="E317" s="20" t="inlineStr">
        <is>
          <t>Revenue</t>
        </is>
      </c>
      <c r="F317" s="21" t="n">
        <v>1380</v>
      </c>
      <c r="G317" s="20" t="inlineStr">
        <is>
          <t>$M</t>
        </is>
      </c>
    </row>
    <row r="318" ht="18" customHeight="1">
      <c r="B318" s="57" t="inlineStr">
        <is>
          <t>FY2020</t>
        </is>
      </c>
      <c r="C318" s="22" t="inlineStr">
        <is>
          <t>Geographic Revenue</t>
        </is>
      </c>
      <c r="D318" s="22" t="inlineStr">
        <is>
          <t>Europe</t>
        </is>
      </c>
      <c r="E318" s="22" t="inlineStr">
        <is>
          <t>Revenue</t>
        </is>
      </c>
      <c r="F318" s="23" t="n">
        <v>1108</v>
      </c>
      <c r="G318" s="22" t="inlineStr">
        <is>
          <t>$M</t>
        </is>
      </c>
    </row>
    <row r="319" ht="18" customHeight="1">
      <c r="B319" s="55" t="inlineStr">
        <is>
          <t>FY2021</t>
        </is>
      </c>
      <c r="C319" s="20" t="inlineStr">
        <is>
          <t>Geographic Revenue</t>
        </is>
      </c>
      <c r="D319" s="20" t="inlineStr">
        <is>
          <t>Europe</t>
        </is>
      </c>
      <c r="E319" s="20" t="inlineStr">
        <is>
          <t>Revenue</t>
        </is>
      </c>
      <c r="F319" s="21" t="n">
        <v>1249</v>
      </c>
      <c r="G319" s="20" t="inlineStr">
        <is>
          <t>$M</t>
        </is>
      </c>
    </row>
    <row r="320" ht="18" customHeight="1">
      <c r="B320" s="57" t="inlineStr">
        <is>
          <t>FY2022</t>
        </is>
      </c>
      <c r="C320" s="22" t="inlineStr">
        <is>
          <t>Geographic Revenue</t>
        </is>
      </c>
      <c r="D320" s="22" t="inlineStr">
        <is>
          <t>Europe</t>
        </is>
      </c>
      <c r="E320" s="22" t="inlineStr">
        <is>
          <t>Revenue</t>
        </is>
      </c>
      <c r="F320" s="23" t="n">
        <v>1773</v>
      </c>
      <c r="G320" s="22" t="inlineStr">
        <is>
          <t>$M</t>
        </is>
      </c>
    </row>
    <row r="321" ht="18" customHeight="1">
      <c r="B321" s="55" t="inlineStr">
        <is>
          <t>FY2020</t>
        </is>
      </c>
      <c r="C321" s="20" t="inlineStr">
        <is>
          <t>Geographic Revenue</t>
        </is>
      </c>
      <c r="D321" s="20" t="inlineStr">
        <is>
          <t>Other countries</t>
        </is>
      </c>
      <c r="E321" s="20" t="inlineStr">
        <is>
          <t>Revenue</t>
        </is>
      </c>
      <c r="F321" s="21" t="n">
        <v>716</v>
      </c>
      <c r="G321" s="20" t="inlineStr">
        <is>
          <t>$M</t>
        </is>
      </c>
    </row>
    <row r="322" ht="18" customHeight="1">
      <c r="B322" s="57" t="inlineStr">
        <is>
          <t>FY2021</t>
        </is>
      </c>
      <c r="C322" s="22" t="inlineStr">
        <is>
          <t>Geographic Revenue</t>
        </is>
      </c>
      <c r="D322" s="22" t="inlineStr">
        <is>
          <t>Other countries</t>
        </is>
      </c>
      <c r="E322" s="22" t="inlineStr">
        <is>
          <t>Revenue</t>
        </is>
      </c>
      <c r="F322" s="23" t="n">
        <v>572</v>
      </c>
      <c r="G322" s="22" t="inlineStr">
        <is>
          <t>$M</t>
        </is>
      </c>
    </row>
    <row r="323" ht="18" customHeight="1">
      <c r="B323" s="55" t="inlineStr">
        <is>
          <t>FY2022</t>
        </is>
      </c>
      <c r="C323" s="20" t="inlineStr">
        <is>
          <t>Geographic Revenue</t>
        </is>
      </c>
      <c r="D323" s="20" t="inlineStr">
        <is>
          <t>Other countries</t>
        </is>
      </c>
      <c r="E323" s="20" t="inlineStr">
        <is>
          <t>Revenue</t>
        </is>
      </c>
      <c r="F323" s="21" t="n">
        <v>646</v>
      </c>
      <c r="G323" s="20" t="inlineStr">
        <is>
          <t>$M</t>
        </is>
      </c>
    </row>
  </sheetData>
  <mergeCells count="2">
    <mergeCell ref="B2:F2"/>
    <mergeCell ref="B3:G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70" customWidth="1" min="3" max="3"/>
    <col width="22" customWidth="1" min="4" max="4"/>
  </cols>
  <sheetData>
    <row r="1" ht="15" customHeight="1"/>
    <row r="2" ht="32" customHeight="1">
      <c r="B2" s="17" t="inlineStr">
        <is>
          <t>Power BI DAX Measures — Copy-Paste Ready</t>
        </is>
      </c>
    </row>
    <row r="3" ht="16" customHeight="1">
      <c r="B3" s="18" t="inlineStr">
        <is>
          <t>Create these as New Measures in Power BI Desktop. Assumes 'Power BI Data' sheet imported as table named 'Financials'.</t>
        </is>
      </c>
    </row>
    <row r="4" ht="28" customHeight="1">
      <c r="B4" s="19" t="inlineStr">
        <is>
          <t>Measure Name</t>
        </is>
      </c>
      <c r="C4" s="19" t="inlineStr">
        <is>
          <t>DAX Formula</t>
        </is>
      </c>
      <c r="D4" s="19" t="inlineStr">
        <is>
          <t>Format</t>
        </is>
      </c>
    </row>
    <row r="5" ht="36" customHeight="1">
      <c r="B5" s="12" t="inlineStr">
        <is>
          <t>Net Revenue</t>
        </is>
      </c>
      <c r="C5" s="97" t="inlineStr">
        <is>
          <t>CALCULATE(SUM(Financials[Value]), Financials[Metric] = "Net revenue")</t>
        </is>
      </c>
      <c r="D5" s="98" t="inlineStr">
        <is>
          <t>Currency ($M)</t>
        </is>
      </c>
    </row>
    <row r="6" ht="36" customHeight="1">
      <c r="B6" s="9" t="inlineStr">
        <is>
          <t>Gross Profit</t>
        </is>
      </c>
      <c r="C6" s="99" t="inlineStr">
        <is>
          <t>CALCULATE(SUM(Financials[Value]), Financials[Metric] = "Gross profit")</t>
        </is>
      </c>
      <c r="D6" s="100" t="inlineStr">
        <is>
          <t>Currency ($M)</t>
        </is>
      </c>
    </row>
    <row r="7" ht="36" customHeight="1">
      <c r="B7" s="12" t="inlineStr">
        <is>
          <t>Operating Income</t>
        </is>
      </c>
      <c r="C7" s="97" t="inlineStr">
        <is>
          <t>CALCULATE(SUM(Financials[Value]), Financials[Metric] = "Operating income")</t>
        </is>
      </c>
      <c r="D7" s="98" t="inlineStr">
        <is>
          <t>Currency ($M)</t>
        </is>
      </c>
    </row>
    <row r="8" ht="36" customHeight="1">
      <c r="B8" s="9" t="inlineStr">
        <is>
          <t>Net Income</t>
        </is>
      </c>
      <c r="C8" s="99" t="inlineStr">
        <is>
          <t>CALCULATE(SUM(Financials[Value]), Financials[Metric] = "Net income")</t>
        </is>
      </c>
      <c r="D8" s="100" t="inlineStr">
        <is>
          <t>Currency ($M)</t>
        </is>
      </c>
    </row>
    <row r="9" ht="36" customHeight="1">
      <c r="B9" s="12" t="inlineStr">
        <is>
          <t>Operating Cash Flow</t>
        </is>
      </c>
      <c r="C9" s="97" t="inlineStr">
        <is>
          <t>CALCULATE(SUM(Financials[Value]), Financials[Metric] = "Operating cash flow")</t>
        </is>
      </c>
      <c r="D9" s="98" t="inlineStr">
        <is>
          <t>Currency ($M)</t>
        </is>
      </c>
    </row>
    <row r="10" ht="36" customHeight="1">
      <c r="B10" s="9" t="inlineStr">
        <is>
          <t>Free Cash Flow</t>
        </is>
      </c>
      <c r="C10" s="99" t="inlineStr">
        <is>
          <t>CALCULATE(SUM(Financials[Value]), Financials[Metric] = "Free cash flow")</t>
        </is>
      </c>
      <c r="D10" s="100" t="inlineStr">
        <is>
          <t>Currency ($M)</t>
        </is>
      </c>
    </row>
    <row r="11" ht="36" customHeight="1">
      <c r="B11" s="12" t="inlineStr">
        <is>
          <t>CapEx</t>
        </is>
      </c>
      <c r="C11" s="97" t="inlineStr">
        <is>
          <t>CALCULATE(SUM(Financials[Value]), Financials[Metric] = "CapEx")</t>
        </is>
      </c>
      <c r="D11" s="98" t="inlineStr">
        <is>
          <t>Currency ($M)</t>
        </is>
      </c>
    </row>
    <row r="12" ht="36" customHeight="1">
      <c r="B12" s="9" t="inlineStr">
        <is>
          <t>Gross Margin %</t>
        </is>
      </c>
      <c r="C12" s="99" t="inlineStr">
        <is>
          <t>DIVIDE([Gross Profit], [Net Revenue])</t>
        </is>
      </c>
      <c r="D12" s="100" t="inlineStr">
        <is>
          <t>Percentage</t>
        </is>
      </c>
    </row>
    <row r="13" ht="36" customHeight="1">
      <c r="B13" s="12" t="inlineStr">
        <is>
          <t>Operating Margin %</t>
        </is>
      </c>
      <c r="C13" s="97" t="inlineStr">
        <is>
          <t>DIVIDE([Operating Income], [Net Revenue])</t>
        </is>
      </c>
      <c r="D13" s="98" t="inlineStr">
        <is>
          <t>Percentage</t>
        </is>
      </c>
    </row>
    <row r="14" ht="36" customHeight="1">
      <c r="B14" s="9" t="inlineStr">
        <is>
          <t>Net Margin %</t>
        </is>
      </c>
      <c r="C14" s="99" t="inlineStr">
        <is>
          <t>DIVIDE([Net Income], [Net Revenue])</t>
        </is>
      </c>
      <c r="D14" s="100" t="inlineStr">
        <is>
          <t>Percentage</t>
        </is>
      </c>
    </row>
    <row r="15" ht="36" customHeight="1">
      <c r="B15" s="12" t="inlineStr">
        <is>
          <t>FCF Margin %</t>
        </is>
      </c>
      <c r="C15" s="97" t="inlineStr">
        <is>
          <t>DIVIDE([Free Cash Flow], [Net Revenue])</t>
        </is>
      </c>
      <c r="D15" s="98" t="inlineStr">
        <is>
          <t>Percentage</t>
        </is>
      </c>
    </row>
    <row r="16" ht="36" customHeight="1">
      <c r="B16" s="9" t="inlineStr">
        <is>
          <t>DSO (days)</t>
        </is>
      </c>
      <c r="C16" s="99" t="inlineStr">
        <is>
          <t>365 * DIVIDE(CALCULATE(SUM(Financials[Value]), Financials[Metric] = "Accounts receivable"), [Net Revenue])</t>
        </is>
      </c>
      <c r="D16" s="100" t="inlineStr">
        <is>
          <t>Number (days)</t>
        </is>
      </c>
    </row>
    <row r="17" ht="36" customHeight="1">
      <c r="B17" s="12" t="inlineStr">
        <is>
          <t>DIO (days)</t>
        </is>
      </c>
      <c r="C17" s="97" t="inlineStr">
        <is>
          <t>365 * DIVIDE(CALCULATE(SUM(Financials[Value]), Financials[Metric] = "Inventories"), CALCULATE(SUM(Financials[Value]), Financials[Metric] = "Cost of sales"))</t>
        </is>
      </c>
      <c r="D17" s="98" t="inlineStr">
        <is>
          <t>Number (days)</t>
        </is>
      </c>
    </row>
    <row r="18" ht="36" customHeight="1">
      <c r="B18" s="9" t="inlineStr">
        <is>
          <t>DPO (days)</t>
        </is>
      </c>
      <c r="C18" s="99" t="inlineStr">
        <is>
          <t>365 * DIVIDE(CALCULATE(SUM(Financials[Value]), Financials[Metric] = "Accounts payable"), CALCULATE(SUM(Financials[Value]), Financials[Metric] = "Cost of sales"))</t>
        </is>
      </c>
      <c r="D18" s="100" t="inlineStr">
        <is>
          <t>Number (days)</t>
        </is>
      </c>
    </row>
    <row r="19" ht="36" customHeight="1">
      <c r="B19" s="12" t="inlineStr">
        <is>
          <t>Cash Conversion Cycle</t>
        </is>
      </c>
      <c r="C19" s="97" t="inlineStr">
        <is>
          <t>[DSO (days)] + [DIO (days)] - [DPO (days)]</t>
        </is>
      </c>
      <c r="D19" s="98" t="inlineStr">
        <is>
          <t>Number (days)</t>
        </is>
      </c>
    </row>
    <row r="20" ht="36" customHeight="1">
      <c r="B20" s="9" t="inlineStr">
        <is>
          <t>ROE</t>
        </is>
      </c>
      <c r="C20" s="99" t="inlineStr">
        <is>
          <t>DIVIDE([Net Income], CALCULATE(SUM(Financials[Value]), Financials[Metric] = "Total stockholders' equity"))</t>
        </is>
      </c>
      <c r="D20" s="100" t="inlineStr">
        <is>
          <t>Percentage</t>
        </is>
      </c>
    </row>
    <row r="21" ht="36" customHeight="1">
      <c r="B21" s="12" t="inlineStr">
        <is>
          <t>ROA</t>
        </is>
      </c>
      <c r="C21" s="97" t="inlineStr">
        <is>
          <t>DIVIDE([Net Income], CALCULATE(SUM(Financials[Value]), Financials[Metric] = "Total assets"))</t>
        </is>
      </c>
      <c r="D21" s="98" t="inlineStr">
        <is>
          <t>Percentage</t>
        </is>
      </c>
    </row>
    <row r="22" ht="36" customHeight="1">
      <c r="B22" s="9" t="inlineStr">
        <is>
          <t>Current Ratio</t>
        </is>
      </c>
      <c r="C22" s="99" t="inlineStr">
        <is>
          <t>DIVIDE(CALCULATE(SUM(Financials[Value]), Financials[Metric] = "Total current assets"), CALCULATE(SUM(Financials[Value]), Financials[Metric] = "Total current liabilities"))</t>
        </is>
      </c>
      <c r="D22" s="100" t="inlineStr">
        <is>
          <t>Number (x)</t>
        </is>
      </c>
    </row>
    <row r="23" ht="36" customHeight="1">
      <c r="B23" s="12" t="inlineStr">
        <is>
          <t>Debt-to-Equity</t>
        </is>
      </c>
      <c r="C23" s="97" t="inlineStr">
        <is>
          <t>DIVIDE(CALCULATE(SUM(Financials[Value]), Financials[Metric] in {"Long-term debt", "Current portion of long-term debt"}), CALCULATE(SUM(Financials[Value]), Financials[Metric] = "Total stockholders' equity"))</t>
        </is>
      </c>
      <c r="D23" s="98" t="inlineStr">
        <is>
          <t>Number (x)</t>
        </is>
      </c>
    </row>
    <row r="24" ht="36" customHeight="1">
      <c r="B24" s="9" t="inlineStr">
        <is>
          <t>EPS Diluted</t>
        </is>
      </c>
      <c r="C24" s="99" t="inlineStr">
        <is>
          <t>CALCULATE(SUM(Financials[Value]), Financials[Metric] = "EPS diluted")</t>
        </is>
      </c>
      <c r="D24" s="100" t="inlineStr">
        <is>
          <t>Currency ($)</t>
        </is>
      </c>
    </row>
    <row r="25" ht="36" customHeight="1">
      <c r="B25" s="12" t="inlineStr">
        <is>
          <t>Book Value/Share</t>
        </is>
      </c>
      <c r="C25" s="97" t="inlineStr">
        <is>
          <t>DIVIDE(CALCULATE(SUM(Financials[Value]), Financials[Metric] = "Total stockholders' equity"), CALCULATE(SUM(Financials[Value]), Financials[Metric] = "Shares diluted"))</t>
        </is>
      </c>
      <c r="D25" s="98" t="inlineStr">
        <is>
          <t>Currency ($)</t>
        </is>
      </c>
    </row>
    <row r="26" ht="36" customHeight="1">
      <c r="B26" s="9" t="inlineStr">
        <is>
          <t>Revenue YoY %</t>
        </is>
      </c>
      <c r="C26" s="99" t="inlineStr">
        <is>
          <t>VAR PrevYr = CALCULATE([Net Revenue], DATEADD('Calendar'[Date], -1, YEAR)) RETURN DIVIDE([Net Revenue] - PrevYr, PrevYr)</t>
        </is>
      </c>
      <c r="D26" s="100" t="inlineStr">
        <is>
          <t>Percentage</t>
        </is>
      </c>
    </row>
    <row r="27" ht="36" customHeight="1">
      <c r="B27" s="12" t="inlineStr">
        <is>
          <t>Net Income YoY %</t>
        </is>
      </c>
      <c r="C27" s="97" t="inlineStr">
        <is>
          <t>VAR PrevYr = CALCULATE([Net Income], DATEADD('Calendar'[Date], -1, YEAR)) RETURN DIVIDE([Net Income] - PrevYr, PrevYr)</t>
        </is>
      </c>
      <c r="D27" s="98" t="inlineStr">
        <is>
          <t>Percentage</t>
        </is>
      </c>
    </row>
    <row r="28" ht="36" customHeight="1">
      <c r="B28" s="9" t="inlineStr">
        <is>
          <t>EPS YoY %</t>
        </is>
      </c>
      <c r="C28" s="99" t="inlineStr">
        <is>
          <t>VAR PrevYr = CALCULATE([EPS Diluted], DATEADD('Calendar'[Date], -1, YEAR)) RETURN DIVIDE([EPS Diluted] - PrevYr, PrevYr)</t>
        </is>
      </c>
      <c r="D28" s="100" t="inlineStr">
        <is>
          <t>Percentage</t>
        </is>
      </c>
    </row>
    <row r="29" ht="36" customHeight="1">
      <c r="B29" s="12" t="inlineStr">
        <is>
          <t>Revenue 5Y CAGR</t>
        </is>
      </c>
      <c r="C29" s="97" t="inlineStr">
        <is>
          <t>VAR StartVal = CALCULATE([Net Revenue], FIRSTDATE('Calendar'[Date])) VAR EndVal = CALCULATE([Net Revenue], LASTDATE('Calendar'[Date])) RETURN POWER(DIVIDE(EndVal, StartVal), 1/5) - 1</t>
        </is>
      </c>
      <c r="D29" s="98" t="inlineStr">
        <is>
          <t>Percentage</t>
        </is>
      </c>
    </row>
    <row r="30" ht="36" customHeight="1">
      <c r="B30" s="9" t="inlineStr">
        <is>
          <t>Net Income 5Y CAGR</t>
        </is>
      </c>
      <c r="C30" s="99" t="inlineStr">
        <is>
          <t>VAR StartVal = CALCULATE([Net Income], FIRSTDATE('Calendar'[Date])) VAR EndVal = CALCULATE([Net Income], LASTDATE('Calendar'[Date])) RETURN POWER(DIVIDE(EndVal, StartVal), 1/5) - 1</t>
        </is>
      </c>
      <c r="D30" s="100" t="inlineStr">
        <is>
          <t>Percentage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60" customWidth="1" min="4" max="4"/>
  </cols>
  <sheetData>
    <row r="1" ht="15" customHeight="1"/>
    <row r="2" ht="32" customHeight="1">
      <c r="B2" s="17" t="inlineStr">
        <is>
          <t>KPI Definitions &amp; Glossary</t>
        </is>
      </c>
    </row>
    <row r="3" ht="16" customHeight="1">
      <c r="B3" s="18" t="inlineStr">
        <is>
          <t>Definitions of every KPI and financial term used in this workbook</t>
        </is>
      </c>
    </row>
    <row r="4" ht="28" customHeight="1">
      <c r="B4" s="19" t="inlineStr">
        <is>
          <t>Term</t>
        </is>
      </c>
      <c r="C4" s="19" t="inlineStr">
        <is>
          <t>Category</t>
        </is>
      </c>
      <c r="D4" s="19" t="inlineStr">
        <is>
          <t>Definition / Formula</t>
        </is>
      </c>
    </row>
    <row r="5" ht="36" customHeight="1">
      <c r="B5" s="12" t="inlineStr">
        <is>
          <t>Gross margin</t>
        </is>
      </c>
      <c r="C5" s="98" t="inlineStr">
        <is>
          <t>Profitability</t>
        </is>
      </c>
      <c r="D5" s="13" t="inlineStr">
        <is>
          <t>Gross profit / Net revenue. Measures how much revenue remains after direct product costs.</t>
        </is>
      </c>
    </row>
    <row r="6" ht="36" customHeight="1">
      <c r="B6" s="9" t="inlineStr">
        <is>
          <t>Operating margin</t>
        </is>
      </c>
      <c r="C6" s="100" t="inlineStr">
        <is>
          <t>Profitability</t>
        </is>
      </c>
      <c r="D6" s="10" t="inlineStr">
        <is>
          <t>Operating income / Net revenue. Profit after operating expenses but before interest and tax.</t>
        </is>
      </c>
    </row>
    <row r="7" ht="36" customHeight="1">
      <c r="B7" s="12" t="inlineStr">
        <is>
          <t>Net profit margin</t>
        </is>
      </c>
      <c r="C7" s="98" t="inlineStr">
        <is>
          <t>Profitability</t>
        </is>
      </c>
      <c r="D7" s="13" t="inlineStr">
        <is>
          <t>Net income / Net revenue. Bottom-line profitability after all expenses.</t>
        </is>
      </c>
    </row>
    <row r="8" ht="36" customHeight="1">
      <c r="B8" s="9" t="inlineStr">
        <is>
          <t>R&amp;D intensity</t>
        </is>
      </c>
      <c r="C8" s="100" t="inlineStr">
        <is>
          <t>Profitability</t>
        </is>
      </c>
      <c r="D8" s="10" t="inlineStr">
        <is>
          <t>R&amp;D expense / Net revenue. Shows how much of each revenue dollar is reinvested in research.</t>
        </is>
      </c>
    </row>
    <row r="9" ht="36" customHeight="1">
      <c r="B9" s="12" t="inlineStr">
        <is>
          <t>Effective tax rate</t>
        </is>
      </c>
      <c r="C9" s="98" t="inlineStr">
        <is>
          <t>Profitability</t>
        </is>
      </c>
      <c r="D9" s="13" t="inlineStr">
        <is>
          <t>Income tax provision / Income before tax. Blended statutory and effective rate.</t>
        </is>
      </c>
    </row>
    <row r="10" ht="36" customHeight="1">
      <c r="B10" s="9" t="inlineStr">
        <is>
          <t>DSO (Days Sales Outstanding)</t>
        </is>
      </c>
      <c r="C10" s="100" t="inlineStr">
        <is>
          <t>Cash Cycle</t>
        </is>
      </c>
      <c r="D10" s="10" t="inlineStr">
        <is>
          <t>Accounts receivable / Revenue × 365. Average days to collect cash from customers.</t>
        </is>
      </c>
    </row>
    <row r="11" ht="36" customHeight="1">
      <c r="B11" s="12" t="inlineStr">
        <is>
          <t>DIO (Days Inventory Outstanding)</t>
        </is>
      </c>
      <c r="C11" s="98" t="inlineStr">
        <is>
          <t>Cash Cycle</t>
        </is>
      </c>
      <c r="D11" s="13" t="inlineStr">
        <is>
          <t>Inventory / COGS × 365. Average days to sell inventory.</t>
        </is>
      </c>
    </row>
    <row r="12" ht="36" customHeight="1">
      <c r="B12" s="9" t="inlineStr">
        <is>
          <t>DPO (Days Payable Outstanding)</t>
        </is>
      </c>
      <c r="C12" s="100" t="inlineStr">
        <is>
          <t>Cash Cycle</t>
        </is>
      </c>
      <c r="D12" s="10" t="inlineStr">
        <is>
          <t>Accounts payable / COGS × 365. Average days to pay suppliers.</t>
        </is>
      </c>
    </row>
    <row r="13" ht="36" customHeight="1">
      <c r="B13" s="12" t="inlineStr">
        <is>
          <t>Cash Conversion Cycle</t>
        </is>
      </c>
      <c r="C13" s="98" t="inlineStr">
        <is>
          <t>Cash Cycle</t>
        </is>
      </c>
      <c r="D13" s="13" t="inlineStr">
        <is>
          <t>DSO + DIO − DPO. Days from paying suppliers to collecting from customers. Lower = faster cash recycling.</t>
        </is>
      </c>
    </row>
    <row r="14" ht="36" customHeight="1">
      <c r="B14" s="9" t="inlineStr">
        <is>
          <t>ROE</t>
        </is>
      </c>
      <c r="C14" s="100" t="inlineStr">
        <is>
          <t>Returns</t>
        </is>
      </c>
      <c r="D14" s="10" t="inlineStr">
        <is>
          <t>Net income / Shareholders' equity. Return generated on shareholder capital.</t>
        </is>
      </c>
    </row>
    <row r="15" ht="36" customHeight="1">
      <c r="B15" s="12" t="inlineStr">
        <is>
          <t>ROA</t>
        </is>
      </c>
      <c r="C15" s="98" t="inlineStr">
        <is>
          <t>Returns</t>
        </is>
      </c>
      <c r="D15" s="13" t="inlineStr">
        <is>
          <t>Net income / Total assets. Return generated on all assets (debt + equity funded).</t>
        </is>
      </c>
    </row>
    <row r="16" ht="36" customHeight="1">
      <c r="B16" s="9" t="inlineStr">
        <is>
          <t>ROIC</t>
        </is>
      </c>
      <c r="C16" s="100" t="inlineStr">
        <is>
          <t>Returns</t>
        </is>
      </c>
      <c r="D16" s="10" t="inlineStr">
        <is>
          <t>NOPAT / Invested Capital. NOPAT = Operating Income × (1 − 19% normalized tax rate). Invested Capital = Total Debt + Equity − Cash &amp; Short-Term Investments. Normalized tax rate neutralizes one-time tax events (valuation allowance releases, IRS settlements).</t>
        </is>
      </c>
    </row>
    <row r="17" ht="36" customHeight="1">
      <c r="B17" s="12" t="inlineStr">
        <is>
          <t>Current ratio</t>
        </is>
      </c>
      <c r="C17" s="98" t="inlineStr">
        <is>
          <t>Liquidity</t>
        </is>
      </c>
      <c r="D17" s="13" t="inlineStr">
        <is>
          <t>Current assets / Current liabilities. Ability to pay short-term obligations. &gt;1.0 = healthy.</t>
        </is>
      </c>
    </row>
    <row r="18" ht="36" customHeight="1">
      <c r="B18" s="9" t="inlineStr">
        <is>
          <t>Debt-to-Equity</t>
        </is>
      </c>
      <c r="C18" s="100" t="inlineStr">
        <is>
          <t>Leverage</t>
        </is>
      </c>
      <c r="D18" s="10" t="inlineStr">
        <is>
          <t>Total debt / Shareholders' equity. Leverage ratio. Higher = more reliance on debt.</t>
        </is>
      </c>
    </row>
    <row r="19" ht="36" customHeight="1">
      <c r="B19" s="12" t="inlineStr">
        <is>
          <t>Net debt</t>
        </is>
      </c>
      <c r="C19" s="98" t="inlineStr">
        <is>
          <t>Leverage</t>
        </is>
      </c>
      <c r="D19" s="13" t="inlineStr">
        <is>
          <t>Total debt − Cash − Short-term investments. Actual debt burden after netting liquid assets.</t>
        </is>
      </c>
    </row>
    <row r="20" ht="36" customHeight="1">
      <c r="B20" s="9" t="inlineStr">
        <is>
          <t>EPS diluted</t>
        </is>
      </c>
      <c r="C20" s="100" t="inlineStr">
        <is>
          <t>Per-Share</t>
        </is>
      </c>
      <c r="D20" s="10" t="inlineStr">
        <is>
          <t>Net income / Diluted weighted-average shares. Earnings per share assuming all dilutive securities convert.</t>
        </is>
      </c>
    </row>
    <row r="21" ht="36" customHeight="1">
      <c r="B21" s="12" t="inlineStr">
        <is>
          <t>Book value per share</t>
        </is>
      </c>
      <c r="C21" s="98" t="inlineStr">
        <is>
          <t>Per-Share</t>
        </is>
      </c>
      <c r="D21" s="13" t="inlineStr">
        <is>
          <t>Shareholders' equity / Diluted shares. Accounting value per share.</t>
        </is>
      </c>
    </row>
    <row r="22" ht="36" customHeight="1">
      <c r="B22" s="9" t="inlineStr">
        <is>
          <t>Free cash flow per share</t>
        </is>
      </c>
      <c r="C22" s="100" t="inlineStr">
        <is>
          <t>Per-Share</t>
        </is>
      </c>
      <c r="D22" s="10" t="inlineStr">
        <is>
          <t>Free cash flow / Diluted shares. Cash generation per share.</t>
        </is>
      </c>
    </row>
    <row r="23" ht="36" customHeight="1">
      <c r="B23" s="12" t="inlineStr">
        <is>
          <t>Free cash flow</t>
        </is>
      </c>
      <c r="C23" s="98" t="inlineStr">
        <is>
          <t>Cash Flow</t>
        </is>
      </c>
      <c r="D23" s="13" t="inlineStr">
        <is>
          <t>Operating cash flow − CapEx. Cash available to equity holders after maintaining the business.</t>
        </is>
      </c>
    </row>
    <row r="24" ht="36" customHeight="1">
      <c r="B24" s="9" t="inlineStr">
        <is>
          <t>FCF conversion</t>
        </is>
      </c>
      <c r="C24" s="100" t="inlineStr">
        <is>
          <t>Cash Flow</t>
        </is>
      </c>
      <c r="D24" s="10" t="inlineStr">
        <is>
          <t>Free cash flow / Net income. How much of accounting profit converts to cash. &gt;1.0 = high-quality earnings.</t>
        </is>
      </c>
    </row>
    <row r="25" ht="36" customHeight="1">
      <c r="B25" s="12" t="inlineStr">
        <is>
          <t>CapEx intensity</t>
        </is>
      </c>
      <c r="C25" s="98" t="inlineStr">
        <is>
          <t>Cash Flow</t>
        </is>
      </c>
      <c r="D25" s="13" t="inlineStr">
        <is>
          <t>CapEx / Revenue. Capital intensity of the business model.</t>
        </is>
      </c>
    </row>
    <row r="26" ht="36" customHeight="1">
      <c r="B26" s="9" t="inlineStr">
        <is>
          <t>CAGR</t>
        </is>
      </c>
      <c r="C26" s="100" t="inlineStr">
        <is>
          <t>Growth</t>
        </is>
      </c>
      <c r="D26" s="10" t="inlineStr">
        <is>
          <t>Compound Annual Growth Rate = (End / Start)^(1/years) − 1. Smoothed annual growth rate.</t>
        </is>
      </c>
    </row>
    <row r="27" ht="36" customHeight="1">
      <c r="B27" s="12" t="inlineStr">
        <is>
          <t>YoY growth</t>
        </is>
      </c>
      <c r="C27" s="98" t="inlineStr">
        <is>
          <t>Growth</t>
        </is>
      </c>
      <c r="D27" s="13" t="inlineStr">
        <is>
          <t>(Current year − Prior year) / |Prior year|. Year-over-year change.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Revenue</t>
        </is>
      </c>
      <c r="C1" t="inlineStr">
        <is>
          <t>Operating Income</t>
        </is>
      </c>
      <c r="D1" t="inlineStr">
        <is>
          <t>Net Income</t>
        </is>
      </c>
    </row>
    <row r="2">
      <c r="A2" t="inlineStr">
        <is>
          <t>FY2020</t>
        </is>
      </c>
      <c r="B2" t="n">
        <v>9763</v>
      </c>
      <c r="C2" t="n">
        <v>1369</v>
      </c>
      <c r="D2" t="n">
        <v>2490</v>
      </c>
    </row>
    <row r="3">
      <c r="A3" t="inlineStr">
        <is>
          <t>FY2021</t>
        </is>
      </c>
      <c r="B3" t="n">
        <v>16434</v>
      </c>
      <c r="C3" t="n">
        <v>3648</v>
      </c>
      <c r="D3" t="n">
        <v>3162</v>
      </c>
    </row>
    <row r="4">
      <c r="A4" t="inlineStr">
        <is>
          <t>FY2022</t>
        </is>
      </c>
      <c r="B4" t="n">
        <v>23601</v>
      </c>
      <c r="C4" t="n">
        <v>1264</v>
      </c>
      <c r="D4" t="n">
        <v>1320</v>
      </c>
    </row>
    <row r="5">
      <c r="A5" t="inlineStr">
        <is>
          <t>FY2023</t>
        </is>
      </c>
      <c r="B5" t="n">
        <v>22680</v>
      </c>
      <c r="C5" t="n">
        <v>401</v>
      </c>
      <c r="D5" t="n">
        <v>854</v>
      </c>
    </row>
    <row r="6">
      <c r="A6" t="inlineStr">
        <is>
          <t>FY2024</t>
        </is>
      </c>
      <c r="B6" t="n">
        <v>25785</v>
      </c>
      <c r="C6" t="n">
        <v>1900</v>
      </c>
      <c r="D6" t="n">
        <v>1641</v>
      </c>
    </row>
    <row r="7">
      <c r="A7" t="inlineStr">
        <is>
          <t>FY2025</t>
        </is>
      </c>
      <c r="B7" t="n">
        <v>34639</v>
      </c>
      <c r="C7" t="n">
        <v>3694</v>
      </c>
      <c r="D7" t="n">
        <v>4335</v>
      </c>
    </row>
    <row r="10">
      <c r="A10" t="inlineStr">
        <is>
          <t>Year</t>
        </is>
      </c>
      <c r="B10" t="inlineStr">
        <is>
          <t>Gross Margin</t>
        </is>
      </c>
      <c r="C10" t="inlineStr">
        <is>
          <t>Operating Margin</t>
        </is>
      </c>
      <c r="D10" t="inlineStr">
        <is>
          <t>Net Margin</t>
        </is>
      </c>
    </row>
    <row r="11">
      <c r="A11" t="inlineStr">
        <is>
          <t>FY2020</t>
        </is>
      </c>
      <c r="B11" t="n">
        <v>0.4452524838676636</v>
      </c>
      <c r="C11" t="n">
        <v>0.1402232920208952</v>
      </c>
      <c r="D11" t="n">
        <v>0.2550445559766465</v>
      </c>
    </row>
    <row r="12">
      <c r="A12" t="inlineStr">
        <is>
          <t>FY2021</t>
        </is>
      </c>
      <c r="B12" t="n">
        <v>0.4824753559693319</v>
      </c>
      <c r="C12" t="n">
        <v>0.2219788243884629</v>
      </c>
      <c r="D12" t="n">
        <v>0.1924059875867105</v>
      </c>
    </row>
    <row r="13">
      <c r="A13" t="inlineStr">
        <is>
          <t>FY2022</t>
        </is>
      </c>
      <c r="B13" t="n">
        <v>0.4492606245498072</v>
      </c>
      <c r="C13" t="n">
        <v>0.05355705266725986</v>
      </c>
      <c r="D13" t="n">
        <v>0.05592983348163214</v>
      </c>
    </row>
    <row r="14">
      <c r="A14" t="inlineStr">
        <is>
          <t>FY2023</t>
        </is>
      </c>
      <c r="B14" t="n">
        <v>0.4611992945326279</v>
      </c>
      <c r="C14" t="n">
        <v>0.01768077601410935</v>
      </c>
      <c r="D14" t="n">
        <v>0.03765432098765432</v>
      </c>
    </row>
    <row r="15">
      <c r="A15" t="inlineStr">
        <is>
          <t>FY2024</t>
        </is>
      </c>
      <c r="B15" t="n">
        <v>0.4935039751793678</v>
      </c>
      <c r="C15" t="n">
        <v>0.0736862516967229</v>
      </c>
      <c r="D15" t="n">
        <v>0.06364165212332752</v>
      </c>
    </row>
    <row r="16">
      <c r="A16" t="inlineStr">
        <is>
          <t>FY2025</t>
        </is>
      </c>
      <c r="B16" t="n">
        <v>0.4951644100580271</v>
      </c>
      <c r="C16" t="n">
        <v>0.106642801466555</v>
      </c>
      <c r="D16" t="n">
        <v>0.1251479546176275</v>
      </c>
    </row>
    <row r="19">
      <c r="A19" t="inlineStr">
        <is>
          <t>Year</t>
        </is>
      </c>
      <c r="B19" t="inlineStr">
        <is>
          <t>Data Center</t>
        </is>
      </c>
      <c r="C19" t="inlineStr">
        <is>
          <t>Client</t>
        </is>
      </c>
      <c r="D19" t="inlineStr">
        <is>
          <t>Gaming</t>
        </is>
      </c>
      <c r="E19" t="inlineStr">
        <is>
          <t>Embedded</t>
        </is>
      </c>
    </row>
    <row r="20">
      <c r="A20" t="inlineStr">
        <is>
          <t>FY2020</t>
        </is>
      </c>
      <c r="B20" t="n">
        <v>1685</v>
      </c>
      <c r="C20" t="n">
        <v>5189</v>
      </c>
      <c r="D20" t="n">
        <v>2746</v>
      </c>
      <c r="E20" t="n">
        <v>143</v>
      </c>
    </row>
    <row r="21">
      <c r="A21" t="inlineStr">
        <is>
          <t>FY2021</t>
        </is>
      </c>
      <c r="B21" t="n">
        <v>3694</v>
      </c>
      <c r="C21" t="n">
        <v>6887</v>
      </c>
      <c r="D21" t="n">
        <v>5607</v>
      </c>
      <c r="E21" t="n">
        <v>246</v>
      </c>
    </row>
    <row r="22">
      <c r="A22" t="inlineStr">
        <is>
          <t>FY2022</t>
        </is>
      </c>
      <c r="B22" t="n">
        <v>6043</v>
      </c>
      <c r="C22" t="n">
        <v>6201</v>
      </c>
      <c r="D22" t="n">
        <v>6805</v>
      </c>
      <c r="E22" t="n">
        <v>4552</v>
      </c>
    </row>
    <row r="23">
      <c r="A23" t="inlineStr">
        <is>
          <t>FY2023</t>
        </is>
      </c>
      <c r="B23" t="n">
        <v>6496</v>
      </c>
      <c r="C23" t="n">
        <v>4651</v>
      </c>
      <c r="D23" t="n">
        <v>6212</v>
      </c>
      <c r="E23" t="n">
        <v>5321</v>
      </c>
    </row>
    <row r="24">
      <c r="A24" t="inlineStr">
        <is>
          <t>FY2024</t>
        </is>
      </c>
      <c r="B24" t="n">
        <v>12579</v>
      </c>
      <c r="C24" t="n">
        <v>7054</v>
      </c>
      <c r="D24" t="n">
        <v>2595</v>
      </c>
      <c r="E24" t="n">
        <v>3557</v>
      </c>
    </row>
    <row r="25">
      <c r="A25" t="inlineStr">
        <is>
          <t>FY2025</t>
        </is>
      </c>
      <c r="B25" t="n">
        <v>16635</v>
      </c>
      <c r="C25" t="n">
        <v>10640</v>
      </c>
      <c r="D25" t="n">
        <v>3910</v>
      </c>
      <c r="E25" t="n">
        <v>3454</v>
      </c>
    </row>
    <row r="28">
      <c r="A28" t="inlineStr">
        <is>
          <t>Year</t>
        </is>
      </c>
      <c r="B28" t="inlineStr">
        <is>
          <t>DSO</t>
        </is>
      </c>
      <c r="C28" t="inlineStr">
        <is>
          <t>DIO</t>
        </is>
      </c>
      <c r="D28" t="inlineStr">
        <is>
          <t>DPO</t>
        </is>
      </c>
      <c r="E28" t="inlineStr">
        <is>
          <t>CCC</t>
        </is>
      </c>
    </row>
    <row r="29">
      <c r="A29" t="inlineStr">
        <is>
          <t>FY2020</t>
        </is>
      </c>
      <c r="B29" t="n">
        <v>77.23957799856601</v>
      </c>
      <c r="C29" t="n">
        <v>94.28268094534712</v>
      </c>
      <c r="D29" t="n">
        <v>31.53988183161004</v>
      </c>
      <c r="E29" t="n">
        <v>139.9823771123031</v>
      </c>
    </row>
    <row r="30">
      <c r="A30" t="inlineStr">
        <is>
          <t>FY2021</t>
        </is>
      </c>
      <c r="B30" t="n">
        <v>60.1004016064257</v>
      </c>
      <c r="C30" t="n">
        <v>83.90064667842445</v>
      </c>
      <c r="D30" t="n">
        <v>56.69194591416814</v>
      </c>
      <c r="E30" t="n">
        <v>87.30910237068201</v>
      </c>
    </row>
    <row r="31">
      <c r="A31" t="inlineStr">
        <is>
          <t>FY2022</t>
        </is>
      </c>
      <c r="B31" t="n">
        <v>63.81043176136604</v>
      </c>
      <c r="C31" t="n">
        <v>119.1701298701299</v>
      </c>
      <c r="D31" t="n">
        <v>78.78311688311688</v>
      </c>
      <c r="E31" t="n">
        <v>104.197444748379</v>
      </c>
    </row>
    <row r="32">
      <c r="A32" t="inlineStr">
        <is>
          <t>FY2023</t>
        </is>
      </c>
      <c r="B32" t="n">
        <v>69.57208994708995</v>
      </c>
      <c r="C32" t="n">
        <v>140.8153041319383</v>
      </c>
      <c r="D32" t="n">
        <v>66.50780280191523</v>
      </c>
      <c r="E32" t="n">
        <v>143.879591277113</v>
      </c>
    </row>
    <row r="33">
      <c r="A33" t="inlineStr">
        <is>
          <t>FY2024</t>
        </is>
      </c>
      <c r="B33" t="n">
        <v>87.65095986038394</v>
      </c>
      <c r="C33" t="n">
        <v>172.7678718837709</v>
      </c>
      <c r="D33" t="n">
        <v>59.95955093280502</v>
      </c>
      <c r="E33" t="n">
        <v>200.4592808113497</v>
      </c>
    </row>
    <row r="34">
      <c r="A34" t="inlineStr">
        <is>
          <t>FY2025</t>
        </is>
      </c>
      <c r="B34" t="n">
        <v>66.54276971044199</v>
      </c>
      <c r="C34" t="n">
        <v>175.668449197861</v>
      </c>
      <c r="D34" t="n">
        <v>64.96627369956246</v>
      </c>
      <c r="E34" t="n">
        <v>177.2449452087405</v>
      </c>
    </row>
    <row r="37">
      <c r="A37" t="inlineStr">
        <is>
          <t>Year</t>
        </is>
      </c>
      <c r="B37" t="inlineStr">
        <is>
          <t>Operating CF</t>
        </is>
      </c>
      <c r="C37" t="inlineStr">
        <is>
          <t>CapEx</t>
        </is>
      </c>
      <c r="D37" t="inlineStr">
        <is>
          <t>Free Cash Flow</t>
        </is>
      </c>
    </row>
    <row r="38">
      <c r="A38" t="inlineStr">
        <is>
          <t>FY2020</t>
        </is>
      </c>
      <c r="B38" t="n">
        <v>1071</v>
      </c>
      <c r="C38" t="n">
        <v>-294</v>
      </c>
      <c r="D38" t="n">
        <v>777</v>
      </c>
    </row>
    <row r="39">
      <c r="A39" t="inlineStr">
        <is>
          <t>FY2021</t>
        </is>
      </c>
      <c r="B39" t="n">
        <v>3521</v>
      </c>
      <c r="C39" t="n">
        <v>-301</v>
      </c>
      <c r="D39" t="n">
        <v>3220</v>
      </c>
    </row>
    <row r="40">
      <c r="A40" t="inlineStr">
        <is>
          <t>FY2022</t>
        </is>
      </c>
      <c r="B40" t="n">
        <v>3565</v>
      </c>
      <c r="C40" t="n">
        <v>-450</v>
      </c>
      <c r="D40" t="n">
        <v>3115</v>
      </c>
    </row>
    <row r="41">
      <c r="A41" t="inlineStr">
        <is>
          <t>FY2023</t>
        </is>
      </c>
      <c r="B41" t="n">
        <v>1667</v>
      </c>
      <c r="C41" t="n">
        <v>-546</v>
      </c>
      <c r="D41" t="n">
        <v>1121</v>
      </c>
    </row>
    <row r="42">
      <c r="A42" t="inlineStr">
        <is>
          <t>FY2024</t>
        </is>
      </c>
      <c r="B42" t="n">
        <v>3041</v>
      </c>
      <c r="C42" t="n">
        <v>-636</v>
      </c>
      <c r="D42" t="n">
        <v>2405</v>
      </c>
    </row>
    <row r="43">
      <c r="A43" t="inlineStr">
        <is>
          <t>FY2025</t>
        </is>
      </c>
      <c r="B43" t="n">
        <v>7709</v>
      </c>
      <c r="C43" t="n">
        <v>-1012</v>
      </c>
      <c r="D43" t="n">
        <v>6697</v>
      </c>
    </row>
    <row r="46">
      <c r="A46" t="inlineStr">
        <is>
          <t>Year</t>
        </is>
      </c>
      <c r="B46" t="inlineStr">
        <is>
          <t>ROE</t>
        </is>
      </c>
      <c r="C46" t="inlineStr">
        <is>
          <t>ROA</t>
        </is>
      </c>
      <c r="D46" t="inlineStr">
        <is>
          <t>ROIC</t>
        </is>
      </c>
    </row>
    <row r="47">
      <c r="A47" t="inlineStr">
        <is>
          <t>FY2020</t>
        </is>
      </c>
      <c r="B47" t="n">
        <v>0.4265890011992462</v>
      </c>
      <c r="C47" t="n">
        <v>0.2778397679089489</v>
      </c>
      <c r="D47" t="n">
        <v>0.2860175393345371</v>
      </c>
    </row>
    <row r="48">
      <c r="A48" t="inlineStr">
        <is>
          <t>FY2021</t>
        </is>
      </c>
      <c r="B48" t="n">
        <v>0.4217687074829932</v>
      </c>
      <c r="C48" t="n">
        <v>0.254609871970368</v>
      </c>
      <c r="D48" t="n">
        <v>0.7032079961922895</v>
      </c>
    </row>
    <row r="49">
      <c r="A49" t="inlineStr">
        <is>
          <t>FY2022</t>
        </is>
      </c>
      <c r="B49" t="n">
        <v>0.02410958904109589</v>
      </c>
      <c r="C49" t="n">
        <v>0.01953240603728914</v>
      </c>
      <c r="D49" t="n">
        <v>0.01993380320080994</v>
      </c>
    </row>
    <row r="50">
      <c r="A50" t="inlineStr">
        <is>
          <t>FY2023</t>
        </is>
      </c>
      <c r="B50" t="n">
        <v>0.0152794675445502</v>
      </c>
      <c r="C50" t="n">
        <v>0.01258009869632467</v>
      </c>
      <c r="D50" t="n">
        <v>0.006176621598493925</v>
      </c>
    </row>
    <row r="51">
      <c r="A51" t="inlineStr">
        <is>
          <t>FY2024</t>
        </is>
      </c>
      <c r="B51" t="n">
        <v>0.02850541967759867</v>
      </c>
      <c r="C51" t="n">
        <v>0.02370496634212579</v>
      </c>
      <c r="D51" t="n">
        <v>0.02841737910150119</v>
      </c>
    </row>
    <row r="52">
      <c r="A52" t="inlineStr">
        <is>
          <t>FY2025</t>
        </is>
      </c>
      <c r="B52" t="n">
        <v>0.06881061604152447</v>
      </c>
      <c r="C52" t="n">
        <v>0.05635285859137353</v>
      </c>
      <c r="D52" t="n">
        <v>0.05374876502182544</v>
      </c>
    </row>
    <row r="55">
      <c r="A55" t="inlineStr">
        <is>
          <t>Year</t>
        </is>
      </c>
      <c r="B55" t="inlineStr">
        <is>
          <t>Revenue YoY</t>
        </is>
      </c>
      <c r="C55" t="inlineStr">
        <is>
          <t>Net Income YoY</t>
        </is>
      </c>
      <c r="D55" t="inlineStr">
        <is>
          <t>EPS YoY</t>
        </is>
      </c>
    </row>
    <row r="56">
      <c r="A56" t="inlineStr">
        <is>
          <t>FY2020</t>
        </is>
      </c>
    </row>
    <row r="57">
      <c r="A57" t="inlineStr">
        <is>
          <t>FY2021</t>
        </is>
      </c>
      <c r="B57" t="n">
        <v>0.683294069445867</v>
      </c>
      <c r="C57" t="n">
        <v>0.2698795180722892</v>
      </c>
      <c r="D57" t="n">
        <v>0.2475728155339805</v>
      </c>
    </row>
    <row r="58">
      <c r="A58" t="inlineStr">
        <is>
          <t>FY2022</t>
        </is>
      </c>
      <c r="B58" t="n">
        <v>0.4361080686381891</v>
      </c>
      <c r="C58" t="n">
        <v>-0.5825426944971537</v>
      </c>
      <c r="D58" t="n">
        <v>-0.6731517509727627</v>
      </c>
    </row>
    <row r="59">
      <c r="A59" t="inlineStr">
        <is>
          <t>FY2023</t>
        </is>
      </c>
      <c r="B59" t="n">
        <v>-0.03902377017922969</v>
      </c>
      <c r="C59" t="n">
        <v>-0.353030303030303</v>
      </c>
      <c r="D59" t="n">
        <v>-0.369047619047619</v>
      </c>
    </row>
    <row r="60">
      <c r="A60" t="inlineStr">
        <is>
          <t>FY2024</t>
        </is>
      </c>
      <c r="B60" t="n">
        <v>0.1369047619047619</v>
      </c>
      <c r="C60" t="n">
        <v>0.9215456674473068</v>
      </c>
      <c r="D60" t="n">
        <v>0.8867924528301886</v>
      </c>
    </row>
    <row r="61">
      <c r="A61" t="inlineStr">
        <is>
          <t>FY2025</t>
        </is>
      </c>
      <c r="B61" t="n">
        <v>0.3433779329067287</v>
      </c>
      <c r="C61" t="n">
        <v>1.641681901279707</v>
      </c>
      <c r="D61" t="n">
        <v>1.65</v>
      </c>
    </row>
    <row r="64">
      <c r="A64" t="inlineStr">
        <is>
          <t>Segment</t>
        </is>
      </c>
      <c r="B64" t="inlineStr">
        <is>
          <t>FY2025 Revenue</t>
        </is>
      </c>
    </row>
    <row r="65">
      <c r="A65" t="inlineStr">
        <is>
          <t>Data Center</t>
        </is>
      </c>
      <c r="B65" t="n">
        <v>16635</v>
      </c>
    </row>
    <row r="66">
      <c r="A66" t="inlineStr">
        <is>
          <t>Client</t>
        </is>
      </c>
      <c r="B66" t="n">
        <v>10640</v>
      </c>
    </row>
    <row r="67">
      <c r="A67" t="inlineStr">
        <is>
          <t>Gaming</t>
        </is>
      </c>
      <c r="B67" t="n">
        <v>3910</v>
      </c>
    </row>
    <row r="68">
      <c r="A68" t="inlineStr">
        <is>
          <t>Embedded</t>
        </is>
      </c>
      <c r="B68" t="n">
        <v>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AMD Interactive Financial Dashboard (FY2020-FY2025)</dc:title>
  <dc:subject xmlns:dc="http://purl.org/dc/elements/1.1/">AMD 10-K Financial Analysis - Power BI Ready</dc:subject>
  <dcterms:created xmlns:dcterms="http://purl.org/dc/terms/" xmlns:xsi="http://www.w3.org/2001/XMLSchema-instance" xsi:type="dcterms:W3CDTF">2026-08-11T13:51:53Z</dcterms:created>
  <dcterms:modified xmlns:dcterms="http://purl.org/dc/terms/" xmlns:xsi="http://www.w3.org/2001/XMLSchema-instance" xsi:type="dcterms:W3CDTF">2026-08-11T13:51:54Z</dcterms:modified>
</cp:coreProperties>
</file>